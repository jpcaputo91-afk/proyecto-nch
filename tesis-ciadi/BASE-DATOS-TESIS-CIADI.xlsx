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UDOS" sheetId="1" state="visible" r:id="rId1"/>
    <sheet name="CASOS SIN LAUDO" sheetId="2" state="visible" r:id="rId2"/>
    <sheet name="PAÍSES" sheetId="3" state="visible" r:id="rId3"/>
    <sheet name="FLUJOS DE CAPITAL" sheetId="4" state="visible" r:id="rId4"/>
    <sheet name="INSTRUCCIONES" sheetId="5" state="visible" r:id="rId5"/>
  </sheets>
  <definedNames>
    <definedName name="_xlnm._FilterDatabase" localSheetId="1" hidden="1">'CASOS SIN LAUDO'!$A$1:$L$1</definedName>
    <definedName name="_xlnm._FilterDatabase" localSheetId="2" hidden="1">'PAÍSES'!$A$1:$K$1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FFFFFF"/>
      <sz val="10"/>
    </font>
    <font>
      <name val="Arial"/>
      <sz val="10"/>
    </font>
    <font>
      <name val="Arial"/>
      <b val="1"/>
      <color rgb="00FFFFFF"/>
      <sz val="9"/>
    </font>
    <font>
      <name val="Arial"/>
      <b val="1"/>
      <sz val="10"/>
    </font>
    <font>
      <name val="Arial"/>
      <b val="1"/>
      <color rgb="00FFFFFF"/>
      <sz val="11"/>
    </font>
    <font>
      <name val="Arial"/>
      <sz val="9"/>
    </font>
    <font>
      <b val="1"/>
      <color rgb="00FFFFFF"/>
      <sz val="10"/>
    </font>
    <font>
      <sz val="9"/>
    </font>
  </fonts>
  <fills count="20">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
      <patternFill patternType="solid">
        <fgColor rgb="007B3F00"/>
      </patternFill>
    </fill>
    <fill>
      <patternFill patternType="solid">
        <fgColor rgb="00FDE9D9"/>
      </patternFill>
    </fill>
    <fill>
      <patternFill patternType="solid">
        <fgColor rgb="001E5631"/>
      </patternFill>
    </fill>
    <fill>
      <patternFill patternType="solid">
        <fgColor rgb="00E2EFDA"/>
      </patternFill>
    </fill>
    <fill>
      <patternFill patternType="solid">
        <fgColor rgb="004C2882"/>
      </patternFill>
    </fill>
    <fill>
      <patternFill patternType="solid">
        <fgColor rgb="007B2D8B"/>
      </patternFill>
    </fill>
    <fill>
      <patternFill patternType="solid">
        <fgColor rgb="00EAE4F5"/>
      </patternFill>
    </fill>
    <fill>
      <patternFill patternType="solid">
        <fgColor rgb="00F2F2F2"/>
      </patternFill>
    </fill>
    <fill>
      <patternFill patternType="solid">
        <fgColor rgb="00FCE4D6"/>
      </patternFill>
    </fill>
    <fill>
      <patternFill patternType="solid">
        <fgColor rgb="00FFD966"/>
      </patternFill>
    </fill>
    <fill>
      <patternFill patternType="solid">
        <fgColor rgb="001F4E79"/>
        <bgColor rgb="001F4E79"/>
      </patternFill>
    </fill>
    <fill>
      <patternFill patternType="solid">
        <fgColor rgb="00FFF2CC"/>
        <bgColor rgb="00FFF2CC"/>
      </patternFill>
    </fill>
    <fill>
      <patternFill patternType="solid">
        <fgColor rgb="00C8F7C5"/>
        <bgColor rgb="00C8F7C5"/>
      </patternFill>
    </fill>
    <fill>
      <patternFill patternType="solid">
        <fgColor rgb="00FFB8B8"/>
        <bgColor rgb="00FFB8B8"/>
      </patternFill>
    </fill>
    <fill>
      <patternFill patternType="solid">
        <fgColor rgb="00FFFACD"/>
        <bgColor rgb="00FFFA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164" fontId="2" fillId="3" borderId="0" applyAlignment="1" pivotButton="0" quotePrefix="0" xfId="0">
      <alignment vertical="center" wrapText="1"/>
    </xf>
    <xf numFmtId="165" fontId="2" fillId="3" borderId="0" applyAlignment="1" pivotButton="0" quotePrefix="0" xfId="0">
      <alignment vertical="center" wrapText="1"/>
    </xf>
    <xf numFmtId="0" fontId="2" fillId="4" borderId="0" applyAlignment="1" pivotButton="0" quotePrefix="0" xfId="0">
      <alignment vertical="center" wrapText="1"/>
    </xf>
    <xf numFmtId="164" fontId="2" fillId="4" borderId="0" applyAlignment="1" pivotButton="0" quotePrefix="0" xfId="0">
      <alignment vertical="center" wrapText="1"/>
    </xf>
    <xf numFmtId="165" fontId="2" fillId="4" borderId="0" applyAlignment="1" pivotButton="0" quotePrefix="0" xfId="0">
      <alignment vertical="center" wrapText="1"/>
    </xf>
    <xf numFmtId="0" fontId="1" fillId="5" borderId="0" applyAlignment="1" pivotButton="0" quotePrefix="0" xfId="0">
      <alignment horizontal="center" vertical="center" wrapText="1"/>
    </xf>
    <xf numFmtId="0" fontId="2" fillId="6" borderId="0" applyAlignment="1" pivotButton="0" quotePrefix="0" xfId="0">
      <alignment vertical="center" wrapText="1"/>
    </xf>
    <xf numFmtId="0" fontId="1" fillId="7" borderId="0" applyAlignment="1" pivotButton="0" quotePrefix="0" xfId="0">
      <alignment horizontal="center" vertical="center" wrapText="1"/>
    </xf>
    <xf numFmtId="0" fontId="2" fillId="8" borderId="0" applyAlignment="1" pivotButton="0" quotePrefix="0" xfId="0">
      <alignment vertical="center" wrapText="1"/>
    </xf>
    <xf numFmtId="165" fontId="2" fillId="8" borderId="0" applyAlignment="1" pivotButton="0" quotePrefix="0" xfId="0">
      <alignment vertical="center" wrapText="1"/>
    </xf>
    <xf numFmtId="0" fontId="1" fillId="9" borderId="0" applyAlignment="1" pivotButton="0" quotePrefix="0" xfId="0">
      <alignment horizontal="center" vertical="center" wrapText="1"/>
    </xf>
    <xf numFmtId="0" fontId="3" fillId="9" borderId="0" applyAlignment="1" pivotButton="0" quotePrefix="0" xfId="0">
      <alignment horizontal="center" vertical="center" wrapText="1"/>
    </xf>
    <xf numFmtId="0" fontId="3" fillId="10" borderId="0" applyAlignment="1" pivotButton="0" quotePrefix="0" xfId="0">
      <alignment horizontal="center" vertical="center" wrapText="1"/>
    </xf>
    <xf numFmtId="0" fontId="1" fillId="10" borderId="0" applyAlignment="1" pivotButton="0" quotePrefix="0" xfId="0">
      <alignment horizontal="center" vertical="center" wrapText="1"/>
    </xf>
    <xf numFmtId="0" fontId="2" fillId="11" borderId="0" applyAlignment="1" pivotButton="0" quotePrefix="0" xfId="0">
      <alignment vertical="center" wrapText="1"/>
    </xf>
    <xf numFmtId="3" fontId="2" fillId="11" borderId="0" applyAlignment="1" pivotButton="0" quotePrefix="0" xfId="0">
      <alignment vertical="center" wrapText="1"/>
    </xf>
    <xf numFmtId="164" fontId="4" fillId="11" borderId="0" applyAlignment="1" pivotButton="0" quotePrefix="0" xfId="0">
      <alignment vertical="center" wrapText="1"/>
    </xf>
    <xf numFmtId="3" fontId="2" fillId="4" borderId="0" applyAlignment="1" pivotButton="0" quotePrefix="0" xfId="0">
      <alignment vertical="center" wrapText="1"/>
    </xf>
    <xf numFmtId="164" fontId="4" fillId="4" borderId="0" applyAlignment="1" pivotButton="0" quotePrefix="0" xfId="0">
      <alignment vertical="center" wrapText="1"/>
    </xf>
    <xf numFmtId="0" fontId="5" fillId="2" borderId="0" applyAlignment="1" pivotButton="0" quotePrefix="0" xfId="0">
      <alignment horizontal="center" vertical="center" wrapText="1"/>
    </xf>
    <xf numFmtId="0" fontId="4" fillId="12" borderId="0" applyAlignment="1" pivotButton="0" quotePrefix="0" xfId="0">
      <alignment horizontal="center" vertical="center"/>
    </xf>
    <xf numFmtId="0" fontId="2" fillId="0" borderId="0" applyAlignment="1" pivotButton="0" quotePrefix="0" xfId="0">
      <alignment vertical="center" wrapText="1"/>
    </xf>
    <xf numFmtId="0" fontId="2" fillId="12" borderId="0" applyAlignment="1" pivotButton="0" quotePrefix="0" xfId="0">
      <alignment horizontal="center" vertical="center"/>
    </xf>
    <xf numFmtId="0" fontId="3" fillId="2" borderId="0" applyAlignment="1" pivotButton="0" quotePrefix="0" xfId="0">
      <alignment horizontal="center" vertical="center" wrapText="1"/>
    </xf>
    <xf numFmtId="0" fontId="6" fillId="8" borderId="0" applyAlignment="1" pivotButton="0" quotePrefix="0" xfId="0">
      <alignment vertical="center" wrapText="1"/>
    </xf>
    <xf numFmtId="0" fontId="6" fillId="13" borderId="0" applyAlignment="1" pivotButton="0" quotePrefix="0" xfId="0">
      <alignment vertical="center" wrapText="1"/>
    </xf>
    <xf numFmtId="0" fontId="6" fillId="14" borderId="0" applyAlignment="1" pivotButton="0" quotePrefix="0" xfId="0">
      <alignment vertical="center" wrapText="1"/>
    </xf>
    <xf numFmtId="0" fontId="7" fillId="15" borderId="1" applyAlignment="1" pivotButton="0" quotePrefix="0" xfId="0">
      <alignment horizontal="center" vertical="center" wrapText="1"/>
    </xf>
    <xf numFmtId="0" fontId="8" fillId="16" borderId="1" applyAlignment="1" pivotButton="0" quotePrefix="0" xfId="0">
      <alignment vertical="top"/>
    </xf>
    <xf numFmtId="0" fontId="8" fillId="17" borderId="1" applyAlignment="1" pivotButton="0" quotePrefix="0" xfId="0">
      <alignment vertical="top"/>
    </xf>
    <xf numFmtId="0" fontId="8" fillId="18" borderId="1" applyAlignment="1" pivotButton="0" quotePrefix="0" xfId="0">
      <alignment vertical="top"/>
    </xf>
    <xf numFmtId="0" fontId="8" fillId="19"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50" customWidth="1" min="3" max="3"/>
    <col width="18" customWidth="1" min="4" max="4"/>
    <col width="22" customWidth="1" min="5" max="5"/>
    <col width="16" customWidth="1" min="6" max="6"/>
    <col width="8" customWidth="1" min="7" max="7"/>
    <col width="20" customWidth="1" min="8" max="8"/>
    <col width="9" customWidth="1" min="9" max="9"/>
    <col width="45" customWidth="1" min="10" max="10"/>
    <col width="14" customWidth="1" min="11" max="11"/>
    <col width="14" customWidth="1" min="12" max="12"/>
    <col width="30" customWidth="1" min="13" max="13"/>
    <col width="35" customWidth="1" min="14" max="14"/>
    <col width="30" customWidth="1" min="15" max="15"/>
    <col width="35" customWidth="1" min="16" max="16"/>
    <col width="45" customWidth="1" min="17" max="17"/>
    <col width="10" customWidth="1" min="18" max="18"/>
    <col width="18" customWidth="1" min="19" max="19"/>
    <col width="10" customWidth="1" min="20" max="20"/>
    <col width="35" customWidth="1" min="21" max="21"/>
    <col width="12" customWidth="1" min="22" max="22"/>
  </cols>
  <sheetData>
    <row r="1" ht="35" customHeight="1">
      <c r="A1" s="30" t="inlineStr">
        <is>
          <t>N°</t>
        </is>
      </c>
      <c r="B1" s="30" t="inlineStr">
        <is>
          <t>Nombre corto</t>
        </is>
      </c>
      <c r="C1" s="30" t="inlineStr">
        <is>
          <t>Nombre completo</t>
        </is>
      </c>
      <c r="D1" s="30" t="inlineStr">
        <is>
          <t>Estado demandado</t>
        </is>
      </c>
      <c r="E1" s="30" t="inlineStr">
        <is>
          <t>Región</t>
        </is>
      </c>
      <c r="F1" s="30" t="inlineStr">
        <is>
          <t>País inversor</t>
        </is>
      </c>
      <c r="G1" s="30" t="inlineStr">
        <is>
          <t>Año inicio</t>
        </is>
      </c>
      <c r="H1" s="30" t="inlineStr">
        <is>
          <t>Resultado</t>
        </is>
      </c>
      <c r="I1" s="30" t="inlineStr">
        <is>
          <t>¿Condena?</t>
        </is>
      </c>
      <c r="J1" s="30" t="inlineStr">
        <is>
          <t>Tipo condena</t>
        </is>
      </c>
      <c r="K1" s="30" t="inlineStr">
        <is>
          <t>Monto reclamado (USD mill.)</t>
        </is>
      </c>
      <c r="L1" s="30" t="inlineStr">
        <is>
          <t>Monto otorgado (USD mill.)</t>
        </is>
      </c>
      <c r="M1" s="30" t="inlineStr">
        <is>
          <t>Sector económico</t>
        </is>
      </c>
      <c r="N1" s="30" t="inlineStr">
        <is>
          <t>Decisiones impugnadas</t>
        </is>
      </c>
      <c r="O1" s="30" t="inlineStr">
        <is>
          <t>Tratado aplicable</t>
        </is>
      </c>
      <c r="P1" s="30" t="inlineStr">
        <is>
          <t>Composición accionaria inversor</t>
        </is>
      </c>
      <c r="Q1" s="30" t="inlineStr">
        <is>
          <t>Árbitros</t>
        </is>
      </c>
      <c r="R1" s="30" t="inlineStr">
        <is>
          <t>¿Anulación?</t>
        </is>
      </c>
      <c r="S1" s="30" t="inlineStr">
        <is>
          <t>Estado anulación</t>
        </is>
      </c>
      <c r="T1" s="30" t="inlineStr">
        <is>
          <t>Idioma laudo</t>
        </is>
      </c>
      <c r="U1" s="30" t="inlineStr">
        <is>
          <t>Link Italaw</t>
        </is>
      </c>
      <c r="V1" s="30" t="inlineStr">
        <is>
          <t>Variables extraídas</t>
        </is>
      </c>
    </row>
    <row r="2">
      <c r="A2" s="31" t="n">
        <v>1</v>
      </c>
      <c r="B2" s="31" t="inlineStr">
        <is>
          <t>Pavilniu and Modus v. Belarus</t>
        </is>
      </c>
      <c r="C2" s="31" t="inlineStr">
        <is>
          <t>UAB Pavilniu saules slenis 14 and UAB Modus grupe v. Republic of Belarus (ICSID Case No. ARB/21/2)</t>
        </is>
      </c>
      <c r="D2" s="31" t="inlineStr">
        <is>
          <t>Belarus</t>
        </is>
      </c>
      <c r="E2" s="31" t="inlineStr">
        <is>
          <t>Este Europa/Asia Central</t>
        </is>
      </c>
      <c r="F2" s="31" t="inlineStr">
        <is>
          <t>Lithuania</t>
        </is>
      </c>
      <c r="G2" s="31" t="n">
        <v>2021</v>
      </c>
      <c r="H2" s="31" t="inlineStr">
        <is>
          <t>No - ganó el Estado</t>
        </is>
      </c>
      <c r="I2" s="31" t="inlineStr">
        <is>
          <t>No</t>
        </is>
      </c>
      <c r="J2" s="31" t="inlineStr"/>
      <c r="K2" s="31" t="inlineStr">
        <is>
          <t>9.00 USD</t>
        </is>
      </c>
      <c r="L2" s="31" t="inlineStr"/>
      <c r="M2" s="31" t="inlineStr">
        <is>
          <t>Tertiary - F - Construction;
Tertiary - I - Accommodation and food service activities</t>
        </is>
      </c>
      <c r="N2" s="31" t="inlineStr"/>
      <c r="O2" s="31" t="inlineStr">
        <is>
          <t>Belarus - Lithuania BIT (1999)</t>
        </is>
      </c>
      <c r="P2" s="31" t="inlineStr"/>
      <c r="Q2" s="31" t="inlineStr">
        <is>
          <t>Bull, C. - President; Tonova, S. - Claimant; Malintoppi, L. - Respondent</t>
        </is>
      </c>
      <c r="R2" s="31" t="inlineStr"/>
      <c r="S2" s="31" t="inlineStr"/>
      <c r="T2" s="31" t="inlineStr"/>
      <c r="U2" s="31" t="inlineStr">
        <is>
          <t>Not available</t>
        </is>
      </c>
      <c r="V2" s="31" t="inlineStr">
        <is>
          <t>Pendiente</t>
        </is>
      </c>
    </row>
    <row r="3">
      <c r="A3" s="32" t="n">
        <v>2</v>
      </c>
      <c r="B3" s="32" t="inlineStr">
        <is>
          <t>AFC v. Colombia</t>
        </is>
      </c>
      <c r="C3" s="32" t="inlineStr">
        <is>
          <t>AFC Investment Solutions S.L. v. Republic of Colombia (ICSID Case No. ARB/20/16)</t>
        </is>
      </c>
      <c r="D3" s="32" t="inlineStr">
        <is>
          <t>Colombia</t>
        </is>
      </c>
      <c r="E3" s="32" t="inlineStr">
        <is>
          <t>América del Sur</t>
        </is>
      </c>
      <c r="F3" s="32" t="inlineStr">
        <is>
          <t>Spain</t>
        </is>
      </c>
      <c r="G3" s="32" t="n">
        <v>2020</v>
      </c>
      <c r="H3" s="32" t="inlineStr">
        <is>
          <t>No - ganó el Estado</t>
        </is>
      </c>
      <c r="I3" s="32" t="inlineStr">
        <is>
          <t>No</t>
        </is>
      </c>
      <c r="J3" s="32" t="inlineStr"/>
      <c r="K3" s="32" t="inlineStr"/>
      <c r="L3" s="32" t="inlineStr"/>
      <c r="M3" s="32" t="inlineStr">
        <is>
          <t>Tertiary - K - Financial and insurance activities</t>
        </is>
      </c>
      <c r="N3" s="32" t="inlineStr"/>
      <c r="O3" s="32" t="inlineStr">
        <is>
          <t>Colombia - Spain BIT (2005)</t>
        </is>
      </c>
      <c r="P3" s="32" t="inlineStr"/>
      <c r="Q3" s="32" t="inlineStr">
        <is>
          <t>Sepúlveda Amor, B. - President; Sacco, S. - Claimant; Jiménez Figueres, D. - Respondent</t>
        </is>
      </c>
      <c r="R3" s="32" t="inlineStr"/>
      <c r="S3" s="32" t="inlineStr"/>
      <c r="T3" s="32" t="inlineStr">
        <is>
          <t>Español</t>
        </is>
      </c>
      <c r="U3" s="32" t="inlineStr">
        <is>
          <t>https://www.italaw.com/cases/9135</t>
        </is>
      </c>
      <c r="V3" s="32" t="inlineStr">
        <is>
          <t>Sí</t>
        </is>
      </c>
    </row>
    <row r="4">
      <c r="A4" s="32" t="n">
        <v>3</v>
      </c>
      <c r="B4" s="32" t="inlineStr">
        <is>
          <t>AHG v. Iraq</t>
        </is>
      </c>
      <c r="C4" s="32" t="inlineStr">
        <is>
          <t>AHG Industry GmbH &amp; Co. KG v. Republic of Iraq (ICSID Case No. ARB/20/21)</t>
        </is>
      </c>
      <c r="D4" s="32" t="inlineStr">
        <is>
          <t>Iraq</t>
        </is>
      </c>
      <c r="E4" s="32" t="inlineStr">
        <is>
          <t>Medio Oriente/Norte África</t>
        </is>
      </c>
      <c r="F4" s="32" t="inlineStr">
        <is>
          <t>Germany</t>
        </is>
      </c>
      <c r="G4" s="32" t="n">
        <v>2020</v>
      </c>
      <c r="H4" s="32" t="inlineStr">
        <is>
          <t>No - ganó el Estado</t>
        </is>
      </c>
      <c r="I4" s="32" t="inlineStr">
        <is>
          <t>No</t>
        </is>
      </c>
      <c r="J4" s="32" t="inlineStr">
        <is>
          <t>TJE - Trato Justo y Equitativo</t>
        </is>
      </c>
      <c r="K4" s="32" t="inlineStr">
        <is>
          <t>1000.00 USD</t>
        </is>
      </c>
      <c r="L4" s="32" t="inlineStr"/>
      <c r="M4" s="32" t="inlineStr">
        <is>
          <t>Secondary - C - Manufacturing</t>
        </is>
      </c>
      <c r="N4" s="32" t="inlineStr"/>
      <c r="O4" s="32" t="inlineStr">
        <is>
          <t>EU - Iraq Cooperation Agreement (2012)</t>
        </is>
      </c>
      <c r="P4" s="32" t="inlineStr"/>
      <c r="Q4" s="32" t="inlineStr">
        <is>
          <t>Banifatemi, Y. - President; Reed, L. - Claimant; Al-Khasawneh, A. S. - Respondent</t>
        </is>
      </c>
      <c r="R4" s="32" t="inlineStr">
        <is>
          <t>ICSID annulment proceedings</t>
        </is>
      </c>
      <c r="S4" s="32" t="inlineStr">
        <is>
          <t>Pending ICSID annulment proceedings</t>
        </is>
      </c>
      <c r="T4" s="32" t="inlineStr">
        <is>
          <t>Indeterminado</t>
        </is>
      </c>
      <c r="U4" s="32" t="inlineStr">
        <is>
          <t>https://www.italaw.com/cases/9929</t>
        </is>
      </c>
      <c r="V4" s="32" t="inlineStr">
        <is>
          <t>Sí</t>
        </is>
      </c>
    </row>
    <row r="5">
      <c r="A5" s="32" t="n">
        <v>4</v>
      </c>
      <c r="B5" s="32" t="inlineStr">
        <is>
          <t>BRIF v. Serbia</t>
        </is>
      </c>
      <c r="C5" s="32" t="inlineStr">
        <is>
          <t>BRIF TRES d.o.o. Beograd and BRIF-TC d.o.o. Beograd v. Republic of Serbia (ICSID Case No. ARB/20/12)</t>
        </is>
      </c>
      <c r="D5" s="32" t="inlineStr">
        <is>
          <t>Serbia</t>
        </is>
      </c>
      <c r="E5" s="32" t="inlineStr">
        <is>
          <t>Europa Occidental</t>
        </is>
      </c>
      <c r="F5" s="32" t="inlineStr">
        <is>
          <t>Luxembourg</t>
        </is>
      </c>
      <c r="G5" s="32" t="n">
        <v>2020</v>
      </c>
      <c r="H5" s="32" t="inlineStr">
        <is>
          <t>No - ganó el Estado</t>
        </is>
      </c>
      <c r="I5" s="32" t="inlineStr">
        <is>
          <t>No</t>
        </is>
      </c>
      <c r="J5" s="32" t="inlineStr">
        <is>
          <t>Expropiación | Cláusula Paraguas</t>
        </is>
      </c>
      <c r="K5" s="32" t="inlineStr">
        <is>
          <t>143.60 EUR (156.50 USD)</t>
        </is>
      </c>
      <c r="L5" s="32" t="inlineStr"/>
      <c r="M5" s="32" t="inlineStr">
        <is>
          <t>Tertiary - F - Construction</t>
        </is>
      </c>
      <c r="N5" s="32" t="inlineStr"/>
      <c r="O5" s="32" t="inlineStr">
        <is>
          <t>BLEU (Belgium-Luxembourg Economic Union) - Serbia BIT (2004)</t>
        </is>
      </c>
      <c r="P5" s="32" t="inlineStr"/>
      <c r="Q5" s="32" t="inlineStr">
        <is>
          <t>Derains, Y. - President; Haridi, S. A. - Claimant; Stern, B. - Respondent</t>
        </is>
      </c>
      <c r="R5" s="32" t="inlineStr">
        <is>
          <t>ICSID annulment proceedings</t>
        </is>
      </c>
      <c r="S5" s="32" t="inlineStr">
        <is>
          <t>Discontinued ICSID annulment proceedings</t>
        </is>
      </c>
      <c r="T5" s="32" t="inlineStr">
        <is>
          <t>Inglés</t>
        </is>
      </c>
      <c r="U5" s="32" t="inlineStr">
        <is>
          <t>https://www.italaw.com/cases/10454</t>
        </is>
      </c>
      <c r="V5" s="32" t="inlineStr">
        <is>
          <t>Sí</t>
        </is>
      </c>
    </row>
    <row r="6">
      <c r="A6" s="32" t="n">
        <v>5</v>
      </c>
      <c r="B6" s="32" t="inlineStr">
        <is>
          <t>Hope Services v. Cameroon</t>
        </is>
      </c>
      <c r="C6" s="32" t="inlineStr">
        <is>
          <t>Hope Services LLC v. Republic of Cameroon (ICSID Case No. ARB/20/2)</t>
        </is>
      </c>
      <c r="D6" s="32" t="inlineStr">
        <is>
          <t>Cameroon</t>
        </is>
      </c>
      <c r="E6" s="32" t="inlineStr">
        <is>
          <t>África Subsahariana</t>
        </is>
      </c>
      <c r="F6" s="32" t="inlineStr">
        <is>
          <t>United States of America</t>
        </is>
      </c>
      <c r="G6" s="32" t="n">
        <v>2020</v>
      </c>
      <c r="H6" s="32" t="inlineStr">
        <is>
          <t>No - ganó el Estado</t>
        </is>
      </c>
      <c r="I6" s="32" t="inlineStr">
        <is>
          <t>No</t>
        </is>
      </c>
      <c r="J6" s="32" t="inlineStr"/>
      <c r="K6" s="32" t="inlineStr">
        <is>
          <t>1000.00 USD</t>
        </is>
      </c>
      <c r="L6" s="32" t="inlineStr"/>
      <c r="M6" s="32" t="inlineStr">
        <is>
          <t>Tertiary - K - Financial and insurance activities</t>
        </is>
      </c>
      <c r="N6" s="32" t="inlineStr"/>
      <c r="O6" s="32" t="inlineStr">
        <is>
          <t>Cameroon - United States of America BIT (1986)</t>
        </is>
      </c>
      <c r="P6" s="32" t="inlineStr"/>
      <c r="Q6" s="32" t="inlineStr">
        <is>
          <t>Scherer, M. - President; Ziadé, N. - Claimant; Mayer, P. - Respondent</t>
        </is>
      </c>
      <c r="R6" s="32" t="inlineStr"/>
      <c r="S6" s="32" t="inlineStr"/>
      <c r="T6" s="32" t="inlineStr">
        <is>
          <t>Indeterminado</t>
        </is>
      </c>
      <c r="U6" s="32" t="inlineStr">
        <is>
          <t>https://www.italaw.com/cases/8431</t>
        </is>
      </c>
      <c r="V6" s="32" t="inlineStr">
        <is>
          <t>Sí</t>
        </is>
      </c>
    </row>
    <row r="7">
      <c r="A7" s="33" t="n">
        <v>6</v>
      </c>
      <c r="B7" s="33" t="inlineStr">
        <is>
          <t>Nachingwea and others v. Tanzania</t>
        </is>
      </c>
      <c r="C7" s="33" t="inlineStr">
        <is>
          <t>Nachingwea U.K. Limited, Ntaka Nickel Holdings Limited and Nachingwea Nickel Limited v. United Republic of Tanzania (ICSID Case No. ARB/20/38)</t>
        </is>
      </c>
      <c r="D7" s="33" t="inlineStr">
        <is>
          <t>Tanzania, United Republic of</t>
        </is>
      </c>
      <c r="E7" s="33" t="inlineStr">
        <is>
          <t>Sin clasificar</t>
        </is>
      </c>
      <c r="F7" s="33" t="inlineStr">
        <is>
          <t>United Kingdom</t>
        </is>
      </c>
      <c r="G7" s="33" t="n">
        <v>2020</v>
      </c>
      <c r="H7" s="33" t="inlineStr">
        <is>
          <t>Sí con daños</t>
        </is>
      </c>
      <c r="I7" s="33" t="inlineStr">
        <is>
          <t>Sí</t>
        </is>
      </c>
      <c r="J7" s="33" t="inlineStr">
        <is>
          <t>Expropiación</t>
        </is>
      </c>
      <c r="K7" s="33" t="inlineStr">
        <is>
          <t>76.70 USD</t>
        </is>
      </c>
      <c r="L7" s="33" t="inlineStr">
        <is>
          <t>76.70 USD</t>
        </is>
      </c>
      <c r="M7" s="33" t="inlineStr">
        <is>
          <t>Primary - B - Mining and quarrying</t>
        </is>
      </c>
      <c r="N7" s="33" t="inlineStr"/>
      <c r="O7" s="33" t="inlineStr">
        <is>
          <t>United Republic of Tanzania - United Kingdom BIT (1994)</t>
        </is>
      </c>
      <c r="P7" s="33" t="inlineStr"/>
      <c r="Q7" s="33" t="inlineStr">
        <is>
          <t>Bull, C. - President; Bishop, D. - Claimant; Monageng, S. M. - Respondent</t>
        </is>
      </c>
      <c r="R7" s="33" t="inlineStr">
        <is>
          <t>ICSID annulment proceedings</t>
        </is>
      </c>
      <c r="S7" s="33" t="inlineStr">
        <is>
          <t>Pending ICSID annulment proceedings</t>
        </is>
      </c>
      <c r="T7" s="33" t="inlineStr">
        <is>
          <t>Inglés</t>
        </is>
      </c>
      <c r="U7" s="33" t="inlineStr">
        <is>
          <t>https://www.italaw.com/cases/8457</t>
        </is>
      </c>
      <c r="V7" s="33" t="inlineStr">
        <is>
          <t>Sí</t>
        </is>
      </c>
    </row>
    <row r="8">
      <c r="A8" s="32" t="n">
        <v>7</v>
      </c>
      <c r="B8" s="32" t="inlineStr">
        <is>
          <t>Pildegovics and North Star v. Norway</t>
        </is>
      </c>
      <c r="C8" s="32" t="inlineStr">
        <is>
          <t>Peteris Pildegovics and SIA North Star v. Kingdom of Norway (ICSID Case No. ARB/20/11)</t>
        </is>
      </c>
      <c r="D8" s="32" t="inlineStr">
        <is>
          <t>Norway</t>
        </is>
      </c>
      <c r="E8" s="32" t="inlineStr">
        <is>
          <t>Europa Occidental</t>
        </is>
      </c>
      <c r="F8" s="32" t="inlineStr">
        <is>
          <t>Latvia</t>
        </is>
      </c>
      <c r="G8" s="32" t="n">
        <v>2020</v>
      </c>
      <c r="H8" s="32" t="inlineStr">
        <is>
          <t>No - ganó el Estado</t>
        </is>
      </c>
      <c r="I8" s="32" t="inlineStr">
        <is>
          <t>No</t>
        </is>
      </c>
      <c r="J8" s="32" t="inlineStr">
        <is>
          <t>TJE - Trato Justo y Equitativo | Expropiación | NMF - Nación Más Favorecida</t>
        </is>
      </c>
      <c r="K8" s="32" t="inlineStr">
        <is>
          <t>448.70 EUR (533.90 USD)</t>
        </is>
      </c>
      <c r="L8" s="32" t="inlineStr"/>
      <c r="M8" s="32" t="inlineStr">
        <is>
          <t>Primary - A - Agriculture, forestry and fishing</t>
        </is>
      </c>
      <c r="N8" s="32" t="inlineStr"/>
      <c r="O8" s="32" t="inlineStr">
        <is>
          <t>Latvia - Norway BIT (1992)</t>
        </is>
      </c>
      <c r="P8" s="32" t="inlineStr"/>
      <c r="Q8" s="32" t="inlineStr">
        <is>
          <t>Greenwood, C. - President; Fortier, L. Y. - Claimant; McRae, D. M. - Respondent</t>
        </is>
      </c>
      <c r="R8" s="32" t="inlineStr">
        <is>
          <t>ICSID annulment proceedings</t>
        </is>
      </c>
      <c r="S8" s="32" t="inlineStr">
        <is>
          <t>Pending ICSID annulment proceedings</t>
        </is>
      </c>
      <c r="T8" s="32" t="inlineStr">
        <is>
          <t>Inglés</t>
        </is>
      </c>
      <c r="U8" s="32" t="inlineStr">
        <is>
          <t>https://www.italaw.com/cases/8023</t>
        </is>
      </c>
      <c r="V8" s="32" t="inlineStr">
        <is>
          <t>Sí</t>
        </is>
      </c>
    </row>
    <row r="9">
      <c r="A9" s="31" t="n">
        <v>8</v>
      </c>
      <c r="B9" s="31" t="inlineStr">
        <is>
          <t>United Agencies v. Algeria (I)</t>
        </is>
      </c>
      <c r="C9" s="31" t="inlineStr">
        <is>
          <t>United Agencies Limited SA v. People’s Democratic Republic of Algeria (I) (ICSID Case No. ARB/20/1)</t>
        </is>
      </c>
      <c r="D9" s="31" t="inlineStr">
        <is>
          <t>Algeria</t>
        </is>
      </c>
      <c r="E9" s="31" t="inlineStr">
        <is>
          <t>Medio Oriente/Norte África</t>
        </is>
      </c>
      <c r="F9" s="31" t="inlineStr">
        <is>
          <t>Switzerland</t>
        </is>
      </c>
      <c r="G9" s="31" t="n">
        <v>2020</v>
      </c>
      <c r="H9" s="31" t="inlineStr">
        <is>
          <t>Sí con daños</t>
        </is>
      </c>
      <c r="I9" s="31" t="inlineStr">
        <is>
          <t>Sí</t>
        </is>
      </c>
      <c r="J9" s="31" t="inlineStr"/>
      <c r="K9" s="31" t="inlineStr"/>
      <c r="L9" s="31" t="inlineStr">
        <is>
          <t>36.00 USD</t>
        </is>
      </c>
      <c r="M9" s="31" t="inlineStr">
        <is>
          <t>Tertiary - K - Financial and insurance activities</t>
        </is>
      </c>
      <c r="N9" s="31" t="inlineStr"/>
      <c r="O9" s="31" t="inlineStr">
        <is>
          <t>Algeria - Switzerland BIT (2004)</t>
        </is>
      </c>
      <c r="P9" s="31" t="inlineStr"/>
      <c r="Q9" s="31" t="inlineStr">
        <is>
          <t>Hanotiau, B. - President; Patocchi, P. M. - Claimant; Bencheneb, A. - Respondent</t>
        </is>
      </c>
      <c r="R9" s="31" t="inlineStr"/>
      <c r="S9" s="31" t="inlineStr"/>
      <c r="T9" s="31" t="inlineStr"/>
      <c r="U9" s="31" t="inlineStr">
        <is>
          <t>Not available</t>
        </is>
      </c>
      <c r="V9" s="31" t="inlineStr">
        <is>
          <t>Pendiente</t>
        </is>
      </c>
    </row>
    <row r="10">
      <c r="A10" s="31" t="n">
        <v>9</v>
      </c>
      <c r="B10" s="31" t="inlineStr">
        <is>
          <t>Axiata and Ncell v. Nepal</t>
        </is>
      </c>
      <c r="C10" s="31" t="inlineStr">
        <is>
          <t>Axiata Investments (UK) Limited and Ncell Private Limited v. Federal Democratic Republic of Nepal (ICSID Case No. ARB/19/15)</t>
        </is>
      </c>
      <c r="D10" s="31" t="inlineStr">
        <is>
          <t>Nepal</t>
        </is>
      </c>
      <c r="E10" s="31" t="inlineStr">
        <is>
          <t>Asia Sur-Este/Pacífico</t>
        </is>
      </c>
      <c r="F10" s="31" t="inlineStr">
        <is>
          <t>United Kingdom</t>
        </is>
      </c>
      <c r="G10" s="31" t="n">
        <v>2019</v>
      </c>
      <c r="H10" s="31" t="inlineStr">
        <is>
          <t>No - ganó el Estado</t>
        </is>
      </c>
      <c r="I10" s="31" t="inlineStr">
        <is>
          <t>No</t>
        </is>
      </c>
      <c r="J10" s="31" t="inlineStr"/>
      <c r="K10" s="31" t="inlineStr">
        <is>
          <t>348.00 USD</t>
        </is>
      </c>
      <c r="L10" s="31" t="inlineStr"/>
      <c r="M10" s="31" t="inlineStr">
        <is>
          <t>Tertiary - J - Information and communication</t>
        </is>
      </c>
      <c r="N10" s="31" t="inlineStr"/>
      <c r="O10" s="31" t="inlineStr">
        <is>
          <t>Nepal - United Kingdom BIT (1993)</t>
        </is>
      </c>
      <c r="P10" s="31" t="inlineStr"/>
      <c r="Q10" s="31" t="inlineStr">
        <is>
          <t>Kim, J. - President; van den Berg, A. J. - Claimant; Friedland, P. - Respondent</t>
        </is>
      </c>
      <c r="R10" s="31" t="inlineStr"/>
      <c r="S10" s="31" t="inlineStr"/>
      <c r="T10" s="31" t="inlineStr"/>
      <c r="U10" s="31" t="inlineStr">
        <is>
          <t>Not available</t>
        </is>
      </c>
      <c r="V10" s="31" t="inlineStr">
        <is>
          <t>Pendiente</t>
        </is>
      </c>
    </row>
    <row r="11">
      <c r="A11" s="34" t="n">
        <v>10</v>
      </c>
      <c r="B11" s="34" t="inlineStr">
        <is>
          <t>Díaz Gaspar v. Costa Rica</t>
        </is>
      </c>
      <c r="C11" s="34" t="inlineStr">
        <is>
          <t>Alejandro Diego Díaz Gaspar v. Republic of Costa Rica (ICSID Case No. ARB/19/13)</t>
        </is>
      </c>
      <c r="D11" s="34" t="inlineStr">
        <is>
          <t>Costa Rica</t>
        </is>
      </c>
      <c r="E11" s="34" t="inlineStr">
        <is>
          <t>América Central/Caribe</t>
        </is>
      </c>
      <c r="F11" s="34" t="inlineStr">
        <is>
          <t>Spain</t>
        </is>
      </c>
      <c r="G11" s="34" t="n">
        <v>2019</v>
      </c>
      <c r="H11" s="34" t="inlineStr">
        <is>
          <t>Sí sin daños</t>
        </is>
      </c>
      <c r="I11" s="34" t="inlineStr">
        <is>
          <t>Sí</t>
        </is>
      </c>
      <c r="J11" s="34" t="inlineStr">
        <is>
          <t>TJE - Trato Justo y Equitativo</t>
        </is>
      </c>
      <c r="K11" s="34" t="inlineStr">
        <is>
          <t>101.00 USD</t>
        </is>
      </c>
      <c r="L11" s="34" t="inlineStr"/>
      <c r="M11" s="34" t="inlineStr">
        <is>
          <t>Secondary - C - Manufacturing</t>
        </is>
      </c>
      <c r="N11" s="34" t="inlineStr">
        <is>
          <t>Cambio regulatorio</t>
        </is>
      </c>
      <c r="O11" s="34" t="inlineStr">
        <is>
          <t>Costa Rica - Spain BIT (1997)</t>
        </is>
      </c>
      <c r="P11" s="34" t="inlineStr"/>
      <c r="Q11" s="34" t="inlineStr">
        <is>
          <t>Mourre, A. - President; Jiménez, A. E. - Claimant; González García, L. - Respondent</t>
        </is>
      </c>
      <c r="R11" s="34" t="inlineStr"/>
      <c r="S11" s="34" t="inlineStr"/>
      <c r="T11" s="34" t="inlineStr">
        <is>
          <t>Indeterminado</t>
        </is>
      </c>
      <c r="U11" s="34" t="inlineStr">
        <is>
          <t>https://www.italaw.com/cases/9474</t>
        </is>
      </c>
      <c r="V11" s="34" t="inlineStr">
        <is>
          <t>Sí</t>
        </is>
      </c>
    </row>
    <row r="12">
      <c r="A12" s="33" t="n">
        <v>11</v>
      </c>
      <c r="B12" s="33" t="inlineStr">
        <is>
          <t>Kenon and IC Power v. Peru</t>
        </is>
      </c>
      <c r="C12" s="33" t="inlineStr">
        <is>
          <t>Kenon Holdings Ltd and IC Power Ltd v. Republic of Peru (ICSID Case No. ARB/19/19)</t>
        </is>
      </c>
      <c r="D12" s="33" t="inlineStr">
        <is>
          <t>Peru</t>
        </is>
      </c>
      <c r="E12" s="33" t="inlineStr">
        <is>
          <t>América del Sur</t>
        </is>
      </c>
      <c r="F12" s="33" t="inlineStr">
        <is>
          <t>Singapore</t>
        </is>
      </c>
      <c r="G12" s="33" t="n">
        <v>2019</v>
      </c>
      <c r="H12" s="33" t="inlineStr">
        <is>
          <t>Sí con daños</t>
        </is>
      </c>
      <c r="I12" s="33" t="inlineStr">
        <is>
          <t>Sí</t>
        </is>
      </c>
      <c r="J12" s="33" t="inlineStr">
        <is>
          <t>TJE - Trato Justo y Equitativo</t>
        </is>
      </c>
      <c r="K12" s="33" t="inlineStr">
        <is>
          <t>195.30 USD</t>
        </is>
      </c>
      <c r="L12" s="33" t="inlineStr">
        <is>
          <t>110.70 USD</t>
        </is>
      </c>
      <c r="M12" s="33" t="inlineStr">
        <is>
          <t>Tertiary - D - Electricity, gas, steam and air conditioning supply</t>
        </is>
      </c>
      <c r="N12" s="33" t="inlineStr"/>
      <c r="O12" s="33" t="inlineStr">
        <is>
          <t>Peru - Singapore FTA (2008)</t>
        </is>
      </c>
      <c r="P12" s="33" t="inlineStr"/>
      <c r="Q12" s="33" t="inlineStr">
        <is>
          <t>Radicati di Brozolo, L. - President; Haigh, D. - Claimant; Siqueiros, E. - Respondent</t>
        </is>
      </c>
      <c r="R12" s="33" t="inlineStr"/>
      <c r="S12" s="33" t="inlineStr"/>
      <c r="T12" s="33" t="inlineStr">
        <is>
          <t>Inglés</t>
        </is>
      </c>
      <c r="U12" s="33" t="inlineStr">
        <is>
          <t>https://www.italaw.com/cases/10933</t>
        </is>
      </c>
      <c r="V12" s="33" t="inlineStr">
        <is>
          <t>Sí</t>
        </is>
      </c>
    </row>
    <row r="13">
      <c r="A13" s="32" t="n">
        <v>12</v>
      </c>
      <c r="B13" s="32" t="inlineStr">
        <is>
          <t>Kornikom v. Serbia</t>
        </is>
      </c>
      <c r="C13" s="32" t="inlineStr">
        <is>
          <t>Kornikom EOOD v. Republic of Serbia (ICSID Case No. ARB/19/12)</t>
        </is>
      </c>
      <c r="D13" s="32" t="inlineStr">
        <is>
          <t>Serbia</t>
        </is>
      </c>
      <c r="E13" s="32" t="inlineStr">
        <is>
          <t>Europa Occidental</t>
        </is>
      </c>
      <c r="F13" s="32" t="inlineStr">
        <is>
          <t>Bulgaria</t>
        </is>
      </c>
      <c r="G13" s="32" t="n">
        <v>2019</v>
      </c>
      <c r="H13" s="32" t="inlineStr">
        <is>
          <t>No - ganó el Estado</t>
        </is>
      </c>
      <c r="I13" s="32" t="inlineStr">
        <is>
          <t>No</t>
        </is>
      </c>
      <c r="J13" s="32" t="inlineStr">
        <is>
          <t>Expropiación</t>
        </is>
      </c>
      <c r="K13" s="32" t="inlineStr">
        <is>
          <t>35.00 EUR (37.40 USD)</t>
        </is>
      </c>
      <c r="L13" s="32" t="inlineStr"/>
      <c r="M13" s="32" t="inlineStr">
        <is>
          <t>Primary - B - Mining and quarrying</t>
        </is>
      </c>
      <c r="N13" s="32" t="inlineStr"/>
      <c r="O13" s="32" t="inlineStr">
        <is>
          <t>Bulgaria - Serbia BIT (1996)</t>
        </is>
      </c>
      <c r="P13" s="32" t="inlineStr">
        <is>
          <t>589 shares</t>
        </is>
      </c>
      <c r="Q13" s="32" t="inlineStr">
        <is>
          <t>Hanotiau, B. - President; Rowley, J. W. - Claimant; Mayer, P. - Respondent</t>
        </is>
      </c>
      <c r="R13" s="32" t="inlineStr"/>
      <c r="S13" s="32" t="inlineStr"/>
      <c r="T13" s="32" t="inlineStr">
        <is>
          <t>Inglés</t>
        </is>
      </c>
      <c r="U13" s="32" t="inlineStr">
        <is>
          <t>https://www.italaw.com/cases/10907</t>
        </is>
      </c>
      <c r="V13" s="32" t="inlineStr">
        <is>
          <t>Sí</t>
        </is>
      </c>
    </row>
    <row r="14">
      <c r="A14" s="32" t="n">
        <v>13</v>
      </c>
      <c r="B14" s="32" t="inlineStr">
        <is>
          <t>Mamacocha and Latam Hydro v. Peru</t>
        </is>
      </c>
      <c r="C14" s="32" t="inlineStr">
        <is>
          <t>CH Mamacocha S.R.L. and Latam Hydro LLC v. Republic of Peru (ICSID Case No. ARB/19/28)</t>
        </is>
      </c>
      <c r="D14" s="32" t="inlineStr">
        <is>
          <t>Peru</t>
        </is>
      </c>
      <c r="E14" s="32" t="inlineStr">
        <is>
          <t>América del Sur</t>
        </is>
      </c>
      <c r="F14" s="32" t="inlineStr">
        <is>
          <t>United States of America</t>
        </is>
      </c>
      <c r="G14" s="32" t="n">
        <v>2019</v>
      </c>
      <c r="H14" s="32" t="inlineStr">
        <is>
          <t>No - ganó el Estado</t>
        </is>
      </c>
      <c r="I14" s="32" t="inlineStr">
        <is>
          <t>No</t>
        </is>
      </c>
      <c r="J14" s="32" t="inlineStr">
        <is>
          <t>TJE - Trato Justo y Equitativo | Expropiación | Cláusula Paraguas | NMF - Nación Más Favorecida</t>
        </is>
      </c>
      <c r="K14" s="32" t="inlineStr">
        <is>
          <t>45.60 USD</t>
        </is>
      </c>
      <c r="L14" s="32" t="inlineStr"/>
      <c r="M14" s="32" t="inlineStr">
        <is>
          <t>Tertiary - D - Electricity, gas, steam and air conditioning supply</t>
        </is>
      </c>
      <c r="N14" s="32" t="inlineStr">
        <is>
          <t>Rescisión/terminación de contrato</t>
        </is>
      </c>
      <c r="O14" s="32" t="inlineStr">
        <is>
          <t>Peru - United States FTA (2006)</t>
        </is>
      </c>
      <c r="P14" s="32" t="inlineStr"/>
      <c r="Q14" s="32" t="inlineStr">
        <is>
          <t>Tawil, G. S. - Claimant; Vinuesa, R. E. - Respondent; van den Berg, A. J. - President</t>
        </is>
      </c>
      <c r="R14" s="32" t="inlineStr"/>
      <c r="S14" s="32" t="inlineStr"/>
      <c r="T14" s="32" t="inlineStr">
        <is>
          <t>Indeterminado</t>
        </is>
      </c>
      <c r="U14" s="32" t="inlineStr">
        <is>
          <t>https://www.italaw.com/cases/7621</t>
        </is>
      </c>
      <c r="V14" s="32" t="inlineStr">
        <is>
          <t>Sí</t>
        </is>
      </c>
    </row>
    <row r="15">
      <c r="A15" s="32" t="n">
        <v>14</v>
      </c>
      <c r="B15" s="32" t="inlineStr">
        <is>
          <t>Mihaljevic v. Croatia</t>
        </is>
      </c>
      <c r="C15" s="32" t="inlineStr">
        <is>
          <t>Marko Mihaljevic v. Republic of Croatia (ICSID Case No. ARB/19/35)</t>
        </is>
      </c>
      <c r="D15" s="32" t="inlineStr">
        <is>
          <t>Croatia</t>
        </is>
      </c>
      <c r="E15" s="32" t="inlineStr">
        <is>
          <t>Europa Occidental</t>
        </is>
      </c>
      <c r="F15" s="32" t="inlineStr">
        <is>
          <t>Germany</t>
        </is>
      </c>
      <c r="G15" s="32" t="n">
        <v>2019</v>
      </c>
      <c r="H15" s="32" t="inlineStr">
        <is>
          <t>No - ganó el Estado</t>
        </is>
      </c>
      <c r="I15" s="32" t="inlineStr">
        <is>
          <t>No</t>
        </is>
      </c>
      <c r="J15" s="32" t="inlineStr">
        <is>
          <t>TJE - Trato Justo y Equitativo</t>
        </is>
      </c>
      <c r="K15" s="32" t="inlineStr"/>
      <c r="L15" s="32" t="inlineStr"/>
      <c r="M15" s="32" t="inlineStr">
        <is>
          <t>Tertiary - L - Real estate activities</t>
        </is>
      </c>
      <c r="N15" s="32" t="inlineStr"/>
      <c r="O15" s="32" t="inlineStr">
        <is>
          <t>Croatia - Germany BIT (1997)</t>
        </is>
      </c>
      <c r="P15" s="32" t="inlineStr"/>
      <c r="Q15" s="32" t="inlineStr">
        <is>
          <t>Bull, C. - President; Kantor, M. - Claimant; Vicien-Milburn, M. - Respondent</t>
        </is>
      </c>
      <c r="R15" s="32" t="inlineStr"/>
      <c r="S15" s="32" t="inlineStr"/>
      <c r="T15" s="32" t="inlineStr">
        <is>
          <t>Inglés</t>
        </is>
      </c>
      <c r="U15" s="32" t="inlineStr">
        <is>
          <t>https://italaw.com/cases/10607</t>
        </is>
      </c>
      <c r="V15" s="32" t="inlineStr">
        <is>
          <t>Sí</t>
        </is>
      </c>
    </row>
    <row r="16">
      <c r="A16" s="32" t="n">
        <v>15</v>
      </c>
      <c r="B16" s="32" t="inlineStr">
        <is>
          <t>Orazul v. Argentina</t>
        </is>
      </c>
      <c r="C16" s="32" t="inlineStr">
        <is>
          <t>Orazul International España Holdings S.L. v. Argentine Republic (ICSID Case No. ARB/19/25)</t>
        </is>
      </c>
      <c r="D16" s="32" t="inlineStr">
        <is>
          <t>Argentina</t>
        </is>
      </c>
      <c r="E16" s="32" t="inlineStr">
        <is>
          <t>América del Sur</t>
        </is>
      </c>
      <c r="F16" s="32" t="inlineStr">
        <is>
          <t>Spain</t>
        </is>
      </c>
      <c r="G16" s="32" t="n">
        <v>2019</v>
      </c>
      <c r="H16" s="32" t="inlineStr">
        <is>
          <t>No - ganó el Estado</t>
        </is>
      </c>
      <c r="I16" s="32" t="inlineStr">
        <is>
          <t>No</t>
        </is>
      </c>
      <c r="J16" s="32" t="inlineStr">
        <is>
          <t>TJE - Trato Justo y Equitativo | Expropiación | NMF - Nación Más Favorecida</t>
        </is>
      </c>
      <c r="K16" s="32" t="inlineStr">
        <is>
          <t>667.30 USD</t>
        </is>
      </c>
      <c r="L16" s="32" t="inlineStr"/>
      <c r="M16" s="32" t="inlineStr">
        <is>
          <t>Tertiary - D - Electricity, gas, steam and air conditioning supply</t>
        </is>
      </c>
      <c r="N16" s="32" t="inlineStr"/>
      <c r="O16" s="32" t="inlineStr">
        <is>
          <t>Argentina - Spain BIT (1991)</t>
        </is>
      </c>
      <c r="P16" s="32" t="inlineStr"/>
      <c r="Q16" s="32" t="inlineStr">
        <is>
          <t>Hanefeld, I. - President; Haigh, D. - Claimant; Pellet, A. - Respondent</t>
        </is>
      </c>
      <c r="R16" s="32" t="inlineStr"/>
      <c r="S16" s="32" t="inlineStr"/>
      <c r="T16" s="32" t="inlineStr">
        <is>
          <t>Inglés</t>
        </is>
      </c>
      <c r="U16" s="32" t="inlineStr">
        <is>
          <t>https://www.italaw.com/cases/8790</t>
        </is>
      </c>
      <c r="V16" s="32" t="inlineStr">
        <is>
          <t>Sí</t>
        </is>
      </c>
    </row>
    <row r="17">
      <c r="A17" s="32" t="n">
        <v>16</v>
      </c>
      <c r="B17" s="32" t="inlineStr">
        <is>
          <t>Scholz Holding v. Morocco</t>
        </is>
      </c>
      <c r="C17" s="32" t="inlineStr">
        <is>
          <t>Scholz Holding GmbH v. Kingdom of Morocco (ICSID Case No. ARB/19/2)</t>
        </is>
      </c>
      <c r="D17" s="32" t="inlineStr">
        <is>
          <t>Morocco</t>
        </is>
      </c>
      <c r="E17" s="32" t="inlineStr">
        <is>
          <t>Medio Oriente/Norte África</t>
        </is>
      </c>
      <c r="F17" s="32" t="inlineStr">
        <is>
          <t>Germany</t>
        </is>
      </c>
      <c r="G17" s="32" t="n">
        <v>2019</v>
      </c>
      <c r="H17" s="32" t="inlineStr">
        <is>
          <t>No - ganó el Estado</t>
        </is>
      </c>
      <c r="I17" s="32" t="inlineStr">
        <is>
          <t>No</t>
        </is>
      </c>
      <c r="J17" s="32" t="inlineStr">
        <is>
          <t>TJE - Trato Justo y Equitativo</t>
        </is>
      </c>
      <c r="K17" s="32" t="inlineStr">
        <is>
          <t>9.70 EUR (9.90 USD)</t>
        </is>
      </c>
      <c r="L17" s="32" t="inlineStr"/>
      <c r="M17" s="32" t="inlineStr">
        <is>
          <t>Secondary - C - Manufacturing</t>
        </is>
      </c>
      <c r="N17" s="32" t="inlineStr"/>
      <c r="O17" s="32" t="inlineStr">
        <is>
          <t>Germany - Morocco BIT (2001)</t>
        </is>
      </c>
      <c r="P17" s="32" t="inlineStr"/>
      <c r="Q17" s="32" t="inlineStr">
        <is>
          <t>Mourre, A. - President; Ziadé, N. - Claimant; Douglas, Z. - Respondent</t>
        </is>
      </c>
      <c r="R17" s="32" t="inlineStr"/>
      <c r="S17" s="32" t="inlineStr"/>
      <c r="T17" s="32" t="inlineStr">
        <is>
          <t>Indeterminado</t>
        </is>
      </c>
      <c r="U17" s="32" t="inlineStr">
        <is>
          <t>https://www.italaw.com/cases/11120</t>
        </is>
      </c>
      <c r="V17" s="32" t="inlineStr">
        <is>
          <t>Sí</t>
        </is>
      </c>
    </row>
    <row r="18">
      <c r="A18" s="32" t="n">
        <v>17</v>
      </c>
      <c r="B18" s="32" t="inlineStr">
        <is>
          <t>Almasryia v. Kuwait</t>
        </is>
      </c>
      <c r="C18" s="32" t="inlineStr">
        <is>
          <t>Almasryia for Operating &amp; Maintaining Touristic Construction Co. L.L.C. v. State of Kuwait (ICSID Case No. ARB/18/2)</t>
        </is>
      </c>
      <c r="D18" s="32" t="inlineStr">
        <is>
          <t>Kuwait</t>
        </is>
      </c>
      <c r="E18" s="32" t="inlineStr">
        <is>
          <t>Medio Oriente/Norte África</t>
        </is>
      </c>
      <c r="F18" s="32" t="inlineStr">
        <is>
          <t>Egypt</t>
        </is>
      </c>
      <c r="G18" s="32" t="n">
        <v>2018</v>
      </c>
      <c r="H18" s="32" t="inlineStr">
        <is>
          <t>No - ganó el Estado</t>
        </is>
      </c>
      <c r="I18" s="32" t="inlineStr">
        <is>
          <t>No</t>
        </is>
      </c>
      <c r="J18" s="32" t="inlineStr">
        <is>
          <t>Expropiación</t>
        </is>
      </c>
      <c r="K18" s="32" t="inlineStr">
        <is>
          <t>320.00 USD</t>
        </is>
      </c>
      <c r="L18" s="32" t="inlineStr"/>
      <c r="M18" s="32" t="inlineStr">
        <is>
          <t>Tertiary - L - Real estate activities</t>
        </is>
      </c>
      <c r="N18" s="32" t="inlineStr">
        <is>
          <t>Nacionalización</t>
        </is>
      </c>
      <c r="O18" s="32" t="inlineStr">
        <is>
          <t>Egypt - Kuwait BIT (2001)</t>
        </is>
      </c>
      <c r="P18" s="32" t="inlineStr">
        <is>
          <t>5% interest</t>
        </is>
      </c>
      <c r="Q18" s="32" t="inlineStr">
        <is>
          <t>Ramírez Hernández, R. - President; Dévaud, P. - Claimant; Knieper, R. - Respondent</t>
        </is>
      </c>
      <c r="R18" s="32" t="inlineStr">
        <is>
          <t>ICSID annulment proceedings</t>
        </is>
      </c>
      <c r="S18" s="32" t="inlineStr">
        <is>
          <t>Award/decision annulled in its entirety ICSID annulment proceedings</t>
        </is>
      </c>
      <c r="T18" s="32" t="inlineStr">
        <is>
          <t>Inglés</t>
        </is>
      </c>
      <c r="U18" s="32" t="inlineStr">
        <is>
          <t>https://www.italaw.com/cases/7841</t>
        </is>
      </c>
      <c r="V18" s="32" t="inlineStr">
        <is>
          <t>Sí</t>
        </is>
      </c>
    </row>
    <row r="19">
      <c r="A19" s="32" t="n">
        <v>18</v>
      </c>
      <c r="B19" s="32" t="inlineStr">
        <is>
          <t>Alverley and Germen v. Romania</t>
        </is>
      </c>
      <c r="C19" s="32" t="inlineStr">
        <is>
          <t>Alverley Investments Limited and Germen Properties Ltd v. Romania (ICSID Case No. ARB/18/30)</t>
        </is>
      </c>
      <c r="D19" s="32" t="inlineStr">
        <is>
          <t>Romania</t>
        </is>
      </c>
      <c r="E19" s="32" t="inlineStr">
        <is>
          <t>Europa Occidental</t>
        </is>
      </c>
      <c r="F19" s="32" t="inlineStr">
        <is>
          <t>Cyprus</t>
        </is>
      </c>
      <c r="G19" s="32" t="n">
        <v>2018</v>
      </c>
      <c r="H19" s="32" t="inlineStr">
        <is>
          <t>No - ganó el Estado</t>
        </is>
      </c>
      <c r="I19" s="32" t="inlineStr">
        <is>
          <t>No</t>
        </is>
      </c>
      <c r="J19" s="32" t="inlineStr"/>
      <c r="K19" s="32" t="inlineStr">
        <is>
          <t>200.00 USD</t>
        </is>
      </c>
      <c r="L19" s="32" t="inlineStr"/>
      <c r="M19" s="32" t="inlineStr">
        <is>
          <t>Tertiary - F - Construction</t>
        </is>
      </c>
      <c r="N19" s="32" t="inlineStr"/>
      <c r="O19" s="32" t="inlineStr">
        <is>
          <t>Cyprus - Romania BIT (1991)</t>
        </is>
      </c>
      <c r="P19" s="32" t="inlineStr"/>
      <c r="Q19" s="32" t="inlineStr">
        <is>
          <t>Hanotiau, B. - Claimant; Mayer, P. - Respondent; Greenwood, C. - President</t>
        </is>
      </c>
      <c r="R19" s="32" t="inlineStr"/>
      <c r="S19" s="32" t="inlineStr"/>
      <c r="T19" s="32" t="inlineStr">
        <is>
          <t>Indeterminado</t>
        </is>
      </c>
      <c r="U19" s="32" t="inlineStr">
        <is>
          <t>https://www.italaw.com/cases/9878</t>
        </is>
      </c>
      <c r="V19" s="32" t="inlineStr">
        <is>
          <t>Sí</t>
        </is>
      </c>
    </row>
    <row r="20">
      <c r="A20" s="32" t="n">
        <v>19</v>
      </c>
      <c r="B20" s="32" t="inlineStr">
        <is>
          <t>Bay View and Spalena v. Rwanda</t>
        </is>
      </c>
      <c r="C20" s="32" t="inlineStr">
        <is>
          <t>Bay View Group LLC and The Spalena Company LLC v. Republic of Rwanda (ICSID Case No. ARB/18/21)</t>
        </is>
      </c>
      <c r="D20" s="32" t="inlineStr">
        <is>
          <t>Rwanda</t>
        </is>
      </c>
      <c r="E20" s="32" t="inlineStr">
        <is>
          <t>África Subsahariana</t>
        </is>
      </c>
      <c r="F20" s="32" t="inlineStr">
        <is>
          <t>United States of America</t>
        </is>
      </c>
      <c r="G20" s="32" t="n">
        <v>2018</v>
      </c>
      <c r="H20" s="32" t="inlineStr">
        <is>
          <t>No - ganó el Estado</t>
        </is>
      </c>
      <c r="I20" s="32" t="inlineStr">
        <is>
          <t>No</t>
        </is>
      </c>
      <c r="J20" s="32" t="inlineStr">
        <is>
          <t>Expropiación</t>
        </is>
      </c>
      <c r="K20" s="32" t="inlineStr">
        <is>
          <t>95.00 USD</t>
        </is>
      </c>
      <c r="L20" s="32" t="inlineStr"/>
      <c r="M20" s="32" t="inlineStr">
        <is>
          <t>Primary - B - Mining and quarrying</t>
        </is>
      </c>
      <c r="N20" s="32" t="inlineStr"/>
      <c r="O20" s="32" t="inlineStr">
        <is>
          <t>Rwanda - United States of America BIT (2008)</t>
        </is>
      </c>
      <c r="P20" s="32" t="inlineStr"/>
      <c r="Q20" s="32" t="inlineStr">
        <is>
          <t>Phillips, N. - President; Bidwell Jr., J. T. - Claimant; Dohmann, B. - Respondent</t>
        </is>
      </c>
      <c r="R20" s="32" t="inlineStr"/>
      <c r="S20" s="32" t="inlineStr"/>
      <c r="T20" s="32" t="inlineStr">
        <is>
          <t>Inglés</t>
        </is>
      </c>
      <c r="U20" s="32" t="inlineStr">
        <is>
          <t>https://www.italaw.com/cases/9419</t>
        </is>
      </c>
      <c r="V20" s="32" t="inlineStr">
        <is>
          <t>Sí</t>
        </is>
      </c>
    </row>
    <row r="21">
      <c r="A21" s="33" t="n">
        <v>20</v>
      </c>
      <c r="B21" s="33" t="inlineStr">
        <is>
          <t>BBVA v. Bolivia</t>
        </is>
      </c>
      <c r="C21" s="33" t="inlineStr">
        <is>
          <t>Banco Bilbao Vizcaya Argentaria S.A. v. Plurinational State of Bolivia (ICSID Case No. ARB(AF)/18/5)</t>
        </is>
      </c>
      <c r="D21" s="33" t="inlineStr">
        <is>
          <t>Bolivia, Plurinational State of</t>
        </is>
      </c>
      <c r="E21" s="33" t="inlineStr">
        <is>
          <t>Sin clasificar</t>
        </is>
      </c>
      <c r="F21" s="33" t="inlineStr">
        <is>
          <t>Spain</t>
        </is>
      </c>
      <c r="G21" s="33" t="n">
        <v>2018</v>
      </c>
      <c r="H21" s="33" t="inlineStr">
        <is>
          <t>Sí con daños</t>
        </is>
      </c>
      <c r="I21" s="33" t="inlineStr">
        <is>
          <t>Sí</t>
        </is>
      </c>
      <c r="J21" s="33" t="inlineStr">
        <is>
          <t>TJE - Trato Justo y Equitativo</t>
        </is>
      </c>
      <c r="K21" s="33" t="inlineStr">
        <is>
          <t>118.50 USD</t>
        </is>
      </c>
      <c r="L21" s="33" t="inlineStr">
        <is>
          <t>94.80 USD</t>
        </is>
      </c>
      <c r="M21" s="33" t="inlineStr">
        <is>
          <t>Tertiary - K - Financial and insurance activities</t>
        </is>
      </c>
      <c r="N21" s="33" t="inlineStr">
        <is>
          <t>Cambio regulatorio | Nacionalización</t>
        </is>
      </c>
      <c r="O21" s="33" t="inlineStr">
        <is>
          <t>Bolivia, Plurinational State of - Spain BIT (2001)</t>
        </is>
      </c>
      <c r="P21" s="33" t="inlineStr"/>
      <c r="Q21" s="33" t="inlineStr">
        <is>
          <t>Galíndez, V. - Claimant; Derains, Y. - Respondent; Alexandrov, S. A. - President</t>
        </is>
      </c>
      <c r="R21" s="33" t="inlineStr">
        <is>
          <t>Judicial review by national courts</t>
        </is>
      </c>
      <c r="S21" s="33" t="inlineStr">
        <is>
          <t>Pending Judicial review by national courts</t>
        </is>
      </c>
      <c r="T21" s="33" t="inlineStr">
        <is>
          <t>Indeterminado</t>
        </is>
      </c>
      <c r="U21" s="33" t="inlineStr">
        <is>
          <t>https://www.italaw.com/cases/9490</t>
        </is>
      </c>
      <c r="V21" s="33" t="inlineStr">
        <is>
          <t>Sí</t>
        </is>
      </c>
    </row>
    <row r="22">
      <c r="A22" s="32" t="n">
        <v>21</v>
      </c>
      <c r="B22" s="32" t="inlineStr">
        <is>
          <t>Borkowski and Rasia FZE v. Armenia</t>
        </is>
      </c>
      <c r="C22" s="32" t="inlineStr">
        <is>
          <t>Joseph K. Borkowski and Rasia FZE v. Republic of Armenia (ICSID Case No. ARB/18/28)</t>
        </is>
      </c>
      <c r="D22" s="32" t="inlineStr">
        <is>
          <t>Armenia</t>
        </is>
      </c>
      <c r="E22" s="32" t="inlineStr">
        <is>
          <t>Este Europa/Asia Central</t>
        </is>
      </c>
      <c r="F22" s="32" t="inlineStr">
        <is>
          <t>United States of America;
United Arab Emirates</t>
        </is>
      </c>
      <c r="G22" s="32" t="n">
        <v>2018</v>
      </c>
      <c r="H22" s="32" t="inlineStr">
        <is>
          <t>No - ganó el Estado</t>
        </is>
      </c>
      <c r="I22" s="32" t="inlineStr">
        <is>
          <t>No</t>
        </is>
      </c>
      <c r="J22" s="32" t="inlineStr">
        <is>
          <t>TJE - Trato Justo y Equitativo | Expropiación | Cláusula Paraguas</t>
        </is>
      </c>
      <c r="K22" s="32" t="inlineStr">
        <is>
          <t>150.00 USD</t>
        </is>
      </c>
      <c r="L22" s="32" t="inlineStr"/>
      <c r="M22" s="32" t="inlineStr">
        <is>
          <t>Tertiary - H - Transportation and storage;
Tertiary - F - Construction</t>
        </is>
      </c>
      <c r="N22" s="32" t="inlineStr"/>
      <c r="O22" s="32" t="inlineStr">
        <is>
          <t>Armenia - United States of America BIT (1992)</t>
        </is>
      </c>
      <c r="P22" s="32" t="inlineStr"/>
      <c r="Q22" s="32" t="inlineStr">
        <is>
          <t>Beechey, J. - Claimant; Thomas, J. C. - Respondent; Kalicki, J. E. - President</t>
        </is>
      </c>
      <c r="R22" s="32" t="inlineStr">
        <is>
          <t>ICSID annulment proceedings</t>
        </is>
      </c>
      <c r="S22" s="32" t="inlineStr">
        <is>
          <t>Pending ICSID annulment proceedings</t>
        </is>
      </c>
      <c r="T22" s="32" t="inlineStr">
        <is>
          <t>Inglés</t>
        </is>
      </c>
      <c r="U22" s="32" t="inlineStr">
        <is>
          <t>https://www.italaw.com/cases/10157</t>
        </is>
      </c>
      <c r="V22" s="32" t="inlineStr">
        <is>
          <t>Sí</t>
        </is>
      </c>
    </row>
    <row r="23">
      <c r="A23" s="32" t="n">
        <v>22</v>
      </c>
      <c r="B23" s="32" t="inlineStr">
        <is>
          <t>Carrizosa v. Colombia (II)</t>
        </is>
      </c>
      <c r="C23" s="32" t="inlineStr">
        <is>
          <t>Astrida Benita Carrizosa v. Republic of Colombia (II) (ICSID Case No. ARB/18/5)</t>
        </is>
      </c>
      <c r="D23" s="32" t="inlineStr">
        <is>
          <t>Colombia</t>
        </is>
      </c>
      <c r="E23" s="32" t="inlineStr">
        <is>
          <t>América del Sur</t>
        </is>
      </c>
      <c r="F23" s="32" t="inlineStr">
        <is>
          <t>United States of America</t>
        </is>
      </c>
      <c r="G23" s="32" t="n">
        <v>2018</v>
      </c>
      <c r="H23" s="32" t="inlineStr">
        <is>
          <t>No - ganó el Estado</t>
        </is>
      </c>
      <c r="I23" s="32" t="inlineStr">
        <is>
          <t>No</t>
        </is>
      </c>
      <c r="J23" s="32" t="inlineStr">
        <is>
          <t>Expropiación</t>
        </is>
      </c>
      <c r="K23" s="32" t="inlineStr">
        <is>
          <t>40.00 USD</t>
        </is>
      </c>
      <c r="L23" s="32" t="inlineStr"/>
      <c r="M23" s="32" t="inlineStr">
        <is>
          <t>Tertiary - K - Financial and insurance activities</t>
        </is>
      </c>
      <c r="N23" s="32" t="inlineStr"/>
      <c r="O23" s="32" t="inlineStr">
        <is>
          <t>Colombia - United States TPA (2006)</t>
        </is>
      </c>
      <c r="P23" s="32" t="inlineStr"/>
      <c r="Q23" s="32" t="inlineStr">
        <is>
          <t>Kaufmann-Kohler, G. - President; Fernández Arroyo, D. P. - Claimant; Söderlund, C. - Respondent</t>
        </is>
      </c>
      <c r="R23" s="32" t="inlineStr"/>
      <c r="S23" s="32" t="inlineStr"/>
      <c r="T23" s="32" t="inlineStr">
        <is>
          <t>Indeterminado</t>
        </is>
      </c>
      <c r="U23" s="32" t="inlineStr">
        <is>
          <t>https://www.italaw.com/cases/8262</t>
        </is>
      </c>
      <c r="V23" s="32" t="inlineStr">
        <is>
          <t>Sí</t>
        </is>
      </c>
    </row>
    <row r="24">
      <c r="A24" s="32" t="n">
        <v>23</v>
      </c>
      <c r="B24" s="32" t="inlineStr">
        <is>
          <t>Cascade Investments v. Turkey</t>
        </is>
      </c>
      <c r="C24" s="32" t="inlineStr">
        <is>
          <t>Cascade Investments NV v. Republic of Turkey (ICSID Case No. ARB/18/4)</t>
        </is>
      </c>
      <c r="D24" s="32" t="inlineStr">
        <is>
          <t>Türkiye</t>
        </is>
      </c>
      <c r="E24" s="32" t="inlineStr">
        <is>
          <t>Sin clasificar</t>
        </is>
      </c>
      <c r="F24" s="32" t="inlineStr">
        <is>
          <t>Belgium</t>
        </is>
      </c>
      <c r="G24" s="32" t="n">
        <v>2018</v>
      </c>
      <c r="H24" s="32" t="inlineStr">
        <is>
          <t>No - ganó el Estado</t>
        </is>
      </c>
      <c r="I24" s="32" t="inlineStr">
        <is>
          <t>No</t>
        </is>
      </c>
      <c r="J24" s="32" t="inlineStr"/>
      <c r="K24" s="32" t="inlineStr">
        <is>
          <t>120.00 EUR (142.40 USD)</t>
        </is>
      </c>
      <c r="L24" s="32" t="inlineStr"/>
      <c r="M24" s="32" t="inlineStr">
        <is>
          <t>Tertiary - J - Information and communication</t>
        </is>
      </c>
      <c r="N24" s="32" t="inlineStr"/>
      <c r="O24" s="32" t="inlineStr">
        <is>
          <t>BLEU (Belgium-Luxembourg Economic Union) - Turkey BIT (1986)</t>
        </is>
      </c>
      <c r="P24" s="32" t="inlineStr"/>
      <c r="Q24" s="32" t="inlineStr">
        <is>
          <t>Kalicki, J. E. - President; van den Berg, A. J. - Claimant; Paulsson, J. - Respondent</t>
        </is>
      </c>
      <c r="R24" s="32" t="inlineStr"/>
      <c r="S24" s="32" t="inlineStr"/>
      <c r="T24" s="32" t="inlineStr">
        <is>
          <t>Inglés</t>
        </is>
      </c>
      <c r="U24" s="32" t="inlineStr">
        <is>
          <t>https://www.italaw.com/cases/8037</t>
        </is>
      </c>
      <c r="V24" s="32" t="inlineStr">
        <is>
          <t>Sí</t>
        </is>
      </c>
    </row>
    <row r="25">
      <c r="A25" s="32" t="n">
        <v>24</v>
      </c>
      <c r="B25" s="32" t="inlineStr">
        <is>
          <t>Ipek v. Türkiye</t>
        </is>
      </c>
      <c r="C25" s="32" t="inlineStr">
        <is>
          <t>Ipek Investment Limited v. Republic of Türkiye (ICSID Case No. ARB/18/18)</t>
        </is>
      </c>
      <c r="D25" s="32" t="inlineStr">
        <is>
          <t>Türkiye</t>
        </is>
      </c>
      <c r="E25" s="32" t="inlineStr">
        <is>
          <t>Sin clasificar</t>
        </is>
      </c>
      <c r="F25" s="32" t="inlineStr">
        <is>
          <t>United Kingdom</t>
        </is>
      </c>
      <c r="G25" s="32" t="n">
        <v>2018</v>
      </c>
      <c r="H25" s="32" t="inlineStr">
        <is>
          <t>No - ganó el Estado</t>
        </is>
      </c>
      <c r="I25" s="32" t="inlineStr">
        <is>
          <t>No</t>
        </is>
      </c>
      <c r="J25" s="32" t="inlineStr">
        <is>
          <t>TJE - Trato Justo y Equitativo | Expropiación | Libre Transferencia | Trato Nacional</t>
        </is>
      </c>
      <c r="K25" s="32" t="inlineStr"/>
      <c r="L25" s="32" t="inlineStr"/>
      <c r="M25" s="32" t="inlineStr">
        <is>
          <t>Primary - B - Mining and quarrying;
Tertiary - J - Information and communication</t>
        </is>
      </c>
      <c r="N25" s="32" t="inlineStr"/>
      <c r="O25" s="32" t="inlineStr">
        <is>
          <t>Turkey - United Kingdom BIT (1991)</t>
        </is>
      </c>
      <c r="P25" s="32" t="inlineStr">
        <is>
          <t>20% 
share</t>
        </is>
      </c>
      <c r="Q25" s="32" t="inlineStr">
        <is>
          <t>McLachlan, C. A. - President; Fortier, L. Y. - Claimant; Lévy, L. - Respondent</t>
        </is>
      </c>
      <c r="R25" s="32" t="inlineStr"/>
      <c r="S25" s="32" t="inlineStr"/>
      <c r="T25" s="32" t="inlineStr">
        <is>
          <t>Indeterminado</t>
        </is>
      </c>
      <c r="U25" s="32" t="inlineStr">
        <is>
          <t>https://www.italaw.com/cases/8058</t>
        </is>
      </c>
      <c r="V25" s="32" t="inlineStr">
        <is>
          <t>Sí</t>
        </is>
      </c>
    </row>
    <row r="26">
      <c r="A26" s="31" t="n">
        <v>25</v>
      </c>
      <c r="B26" s="31" t="inlineStr">
        <is>
          <t>Kimberly-Clark v. Venezuela</t>
        </is>
      </c>
      <c r="C26" s="31" t="inlineStr">
        <is>
          <t>Kimberly-Clark BVBA, Kimberly-Clark Dutch Holdings, B.V., Kimberly-Clark S.L.U. v. Bolivarian Republic of Venezuela (ICSID Case No. ARB(AF)/18/3)</t>
        </is>
      </c>
      <c r="D26" s="31" t="inlineStr">
        <is>
          <t>Venezuela, Bolivarian Republic of</t>
        </is>
      </c>
      <c r="E26" s="31" t="inlineStr">
        <is>
          <t>América del Sur</t>
        </is>
      </c>
      <c r="F26" s="31" t="inlineStr">
        <is>
          <t>Belgium;
Netherlands;
Spain</t>
        </is>
      </c>
      <c r="G26" s="31" t="n">
        <v>2018</v>
      </c>
      <c r="H26" s="31" t="inlineStr">
        <is>
          <t>No - ganó el Estado</t>
        </is>
      </c>
      <c r="I26" s="31" t="inlineStr">
        <is>
          <t>No</t>
        </is>
      </c>
      <c r="J26" s="31" t="inlineStr"/>
      <c r="K26" s="31" t="inlineStr"/>
      <c r="L26" s="31" t="inlineStr"/>
      <c r="M26" s="31" t="inlineStr">
        <is>
          <t>Secondary - C - Manufacturing</t>
        </is>
      </c>
      <c r="N26" s="31" t="inlineStr"/>
      <c r="O26" s="31" t="inlineStr">
        <is>
          <t>BLEU (Belgium-Luxembourg Economic Union) - Venezuela, Bolivarian Republic of BIT (1998);
Spain - Venezuela, Bolivarian Republic of BIT (1995);
Netherlands - Venezuela, Bolivarian Republic of BIT (1991)</t>
        </is>
      </c>
      <c r="P26" s="31" t="inlineStr"/>
      <c r="Q26" s="31" t="inlineStr">
        <is>
          <t>Schill, S. - President (replaced); Haigh, D. - Claimant; Stern, B. - Respondent; Kaufmann-Kohler, G. - President</t>
        </is>
      </c>
      <c r="R26" s="31" t="inlineStr"/>
      <c r="S26" s="31" t="inlineStr"/>
      <c r="T26" s="31" t="inlineStr"/>
      <c r="U26" s="31" t="inlineStr">
        <is>
          <t>Not available</t>
        </is>
      </c>
      <c r="V26" s="31" t="inlineStr">
        <is>
          <t>Pendiente</t>
        </is>
      </c>
    </row>
    <row r="27">
      <c r="A27" s="32" t="n">
        <v>26</v>
      </c>
      <c r="B27" s="32" t="inlineStr">
        <is>
          <t>MTS v. Turkmenistan (II)</t>
        </is>
      </c>
      <c r="C27" s="32" t="inlineStr">
        <is>
          <t>Public Joint Stock Company Mobile TeleSystems v. Turkmenistan (II) (ICSID Case No. ARB(AF)/18/4)</t>
        </is>
      </c>
      <c r="D27" s="32" t="inlineStr">
        <is>
          <t>Turkmenistan</t>
        </is>
      </c>
      <c r="E27" s="32" t="inlineStr">
        <is>
          <t>Este Europa/Asia Central</t>
        </is>
      </c>
      <c r="F27" s="32" t="inlineStr">
        <is>
          <t>Russian Federation</t>
        </is>
      </c>
      <c r="G27" s="32" t="n">
        <v>2018</v>
      </c>
      <c r="H27" s="32" t="inlineStr">
        <is>
          <t>No - ganó el Estado</t>
        </is>
      </c>
      <c r="I27" s="32" t="inlineStr">
        <is>
          <t>No</t>
        </is>
      </c>
      <c r="J27" s="32" t="inlineStr">
        <is>
          <t>TJE - Trato Justo y Equitativo | Expropiación | NMF - Nación Más Favorecida | Trato Nacional</t>
        </is>
      </c>
      <c r="K27" s="32" t="inlineStr">
        <is>
          <t>750.00 USD</t>
        </is>
      </c>
      <c r="L27" s="32" t="inlineStr"/>
      <c r="M27" s="32" t="inlineStr">
        <is>
          <t>Tertiary - J - Information and communication</t>
        </is>
      </c>
      <c r="N27" s="32" t="inlineStr"/>
      <c r="O27" s="32" t="inlineStr">
        <is>
          <t>Russian Federation - Turkmenistan BIT (2009)</t>
        </is>
      </c>
      <c r="P27" s="32" t="inlineStr"/>
      <c r="Q27" s="32" t="inlineStr">
        <is>
          <t>Elsing, S. H. - President; Patocchi, P. M. - Claimant; Townsend, J. M. - Respondent</t>
        </is>
      </c>
      <c r="R27" s="32" t="inlineStr">
        <is>
          <t>Judicial review by national courts</t>
        </is>
      </c>
      <c r="S27" s="32" t="inlineStr">
        <is>
          <t>Pending Judicial review by national courts</t>
        </is>
      </c>
      <c r="T27" s="32" t="inlineStr">
        <is>
          <t>Inglés</t>
        </is>
      </c>
      <c r="U27" s="32" t="inlineStr">
        <is>
          <t>https://www.italaw.com/cases/11031</t>
        </is>
      </c>
      <c r="V27" s="32" t="inlineStr">
        <is>
          <t>Sí</t>
        </is>
      </c>
    </row>
    <row r="28">
      <c r="A28" s="33" t="n">
        <v>27</v>
      </c>
      <c r="B28" s="33" t="inlineStr">
        <is>
          <t>Rand Investments and others v. Serbia</t>
        </is>
      </c>
      <c r="C28" s="33" t="inlineStr">
        <is>
          <t>Rand Investments Ltd., Allison Ruth Rand, Kathleen Elizabeth Rand and others v. Republic of Serbia (ICSID Case No. ARB/18/8)</t>
        </is>
      </c>
      <c r="D28" s="33" t="inlineStr">
        <is>
          <t>Serbia</t>
        </is>
      </c>
      <c r="E28" s="33" t="inlineStr">
        <is>
          <t>Europa Occidental</t>
        </is>
      </c>
      <c r="F28" s="33" t="inlineStr">
        <is>
          <t>Canada;
Cyprus</t>
        </is>
      </c>
      <c r="G28" s="33" t="n">
        <v>2018</v>
      </c>
      <c r="H28" s="33" t="inlineStr">
        <is>
          <t>Sí con daños</t>
        </is>
      </c>
      <c r="I28" s="33" t="inlineStr">
        <is>
          <t>Sí</t>
        </is>
      </c>
      <c r="J28" s="33" t="inlineStr">
        <is>
          <t>TJE - Trato Justo y Equitativo | Expropiación | Protección y Seguridad Plenas | NMF - Nación Más Favorecida | Trato Nacional</t>
        </is>
      </c>
      <c r="K28" s="33" t="inlineStr">
        <is>
          <t>87.50 EUR (95.70 USD)</t>
        </is>
      </c>
      <c r="L28" s="33" t="inlineStr">
        <is>
          <t>14.60 EUR (15.90 USD)</t>
        </is>
      </c>
      <c r="M28" s="33" t="inlineStr">
        <is>
          <t>Primary - A - Agriculture, forestry and fishing</t>
        </is>
      </c>
      <c r="N28" s="33" t="inlineStr">
        <is>
          <t>Medida fiscal/impositiva | Nacionalización</t>
        </is>
      </c>
      <c r="O28" s="33" t="inlineStr">
        <is>
          <t>Canada - Serbia BIT (2014);
Cyprus - Serbia BIT (2005)</t>
        </is>
      </c>
      <c r="P28" s="33" t="inlineStr"/>
      <c r="Q28" s="33" t="inlineStr">
        <is>
          <t>Kaufmann-Kohler, G. - President; Vasani, B. S. - Claimant; Kohen, M. G. - Respondent</t>
        </is>
      </c>
      <c r="R28" s="33" t="inlineStr">
        <is>
          <t>ICSID annulment proceedings</t>
        </is>
      </c>
      <c r="S28" s="33" t="inlineStr">
        <is>
          <t>Pending ICSID annulment proceedings</t>
        </is>
      </c>
      <c r="T28" s="33" t="inlineStr">
        <is>
          <t>Indeterminado</t>
        </is>
      </c>
      <c r="U28" s="33" t="inlineStr">
        <is>
          <t>https://www.italaw.com/cases/7884</t>
        </is>
      </c>
      <c r="V28" s="33" t="inlineStr">
        <is>
          <t>Sí</t>
        </is>
      </c>
    </row>
    <row r="29">
      <c r="A29" s="33" t="n">
        <v>28</v>
      </c>
      <c r="B29" s="33" t="inlineStr">
        <is>
          <t>Unionmatex v. Turkmenistan</t>
        </is>
      </c>
      <c r="C29" s="33" t="inlineStr">
        <is>
          <t>Dirk Herzig as Insolvency Administrator over the Assets of Unionmatex Industrieanlagen GmbH v. Turkmenistan (ICSID Case No. ARB/18/35)</t>
        </is>
      </c>
      <c r="D29" s="33" t="inlineStr">
        <is>
          <t>Turkmenistan</t>
        </is>
      </c>
      <c r="E29" s="33" t="inlineStr">
        <is>
          <t>Este Europa/Asia Central</t>
        </is>
      </c>
      <c r="F29" s="33" t="inlineStr">
        <is>
          <t>Germany</t>
        </is>
      </c>
      <c r="G29" s="33" t="n">
        <v>2018</v>
      </c>
      <c r="H29" s="33" t="inlineStr">
        <is>
          <t>Sí con daños</t>
        </is>
      </c>
      <c r="I29" s="33" t="inlineStr">
        <is>
          <t>Sí</t>
        </is>
      </c>
      <c r="J29" s="33" t="inlineStr">
        <is>
          <t>Expropiación | Cláusula Paraguas</t>
        </is>
      </c>
      <c r="K29" s="33" t="inlineStr">
        <is>
          <t>46.00 EUR (50.50 USD)</t>
        </is>
      </c>
      <c r="L29" s="33" t="inlineStr">
        <is>
          <t>2.50 EUR (2.70 USD)</t>
        </is>
      </c>
      <c r="M29" s="33" t="inlineStr">
        <is>
          <t>Tertiary - F - Construction</t>
        </is>
      </c>
      <c r="N29" s="33" t="inlineStr"/>
      <c r="O29" s="33" t="inlineStr">
        <is>
          <t>Germany - Turkmenistan BIT (1997)</t>
        </is>
      </c>
      <c r="P29" s="33" t="inlineStr"/>
      <c r="Q29" s="33" t="inlineStr">
        <is>
          <t>Voser, N. - Claimant; Sands, P. - Respondent; Reed, L. - President</t>
        </is>
      </c>
      <c r="R29" s="33" t="inlineStr"/>
      <c r="S29" s="33" t="inlineStr"/>
      <c r="T29" s="33" t="inlineStr">
        <is>
          <t>Indeterminado</t>
        </is>
      </c>
      <c r="U29" s="33" t="inlineStr">
        <is>
          <t>https://www.italaw.com/cases/4858</t>
        </is>
      </c>
      <c r="V29" s="33" t="inlineStr">
        <is>
          <t>Sí</t>
        </is>
      </c>
    </row>
    <row r="30">
      <c r="A30" s="33" t="n">
        <v>29</v>
      </c>
      <c r="B30" s="33" t="inlineStr">
        <is>
          <t>Westwater Resources v. Turkey</t>
        </is>
      </c>
      <c r="C30" s="33" t="inlineStr">
        <is>
          <t>Westwater Resources, Inc. v. Republic of Turkey (ICSID Case No. ARB/18/46)</t>
        </is>
      </c>
      <c r="D30" s="33" t="inlineStr">
        <is>
          <t>Türkiye</t>
        </is>
      </c>
      <c r="E30" s="33" t="inlineStr">
        <is>
          <t>Sin clasificar</t>
        </is>
      </c>
      <c r="F30" s="33" t="inlineStr">
        <is>
          <t>United States of America</t>
        </is>
      </c>
      <c r="G30" s="33" t="n">
        <v>2018</v>
      </c>
      <c r="H30" s="33" t="inlineStr">
        <is>
          <t>Sí con daños</t>
        </is>
      </c>
      <c r="I30" s="33" t="inlineStr">
        <is>
          <t>Sí</t>
        </is>
      </c>
      <c r="J30" s="33" t="inlineStr">
        <is>
          <t>TJE - Trato Justo y Equitativo | Expropiación</t>
        </is>
      </c>
      <c r="K30" s="33" t="inlineStr">
        <is>
          <t>36.50 USD</t>
        </is>
      </c>
      <c r="L30" s="33" t="inlineStr">
        <is>
          <t>1.30 USD</t>
        </is>
      </c>
      <c r="M30" s="33" t="inlineStr">
        <is>
          <t>Primary - B - Mining and quarrying</t>
        </is>
      </c>
      <c r="N30" s="33" t="inlineStr">
        <is>
          <t>Revocación de licencia/permiso</t>
        </is>
      </c>
      <c r="O30" s="33" t="inlineStr">
        <is>
          <t>Turkey - United States of America BIT (1985)</t>
        </is>
      </c>
      <c r="P30" s="33" t="inlineStr"/>
      <c r="Q30" s="33" t="inlineStr">
        <is>
          <t>Binnie, I. - President; Volterra, R. - Claimant; Stern, B. - Respondent</t>
        </is>
      </c>
      <c r="R30" s="33" t="inlineStr"/>
      <c r="S30" s="33" t="inlineStr"/>
      <c r="T30" s="33" t="inlineStr">
        <is>
          <t>Inglés</t>
        </is>
      </c>
      <c r="U30" s="33" t="inlineStr">
        <is>
          <t>https://www.italaw.com/cases/7014</t>
        </is>
      </c>
      <c r="V30" s="33" t="inlineStr">
        <is>
          <t>Sí</t>
        </is>
      </c>
    </row>
    <row r="31">
      <c r="A31" s="32" t="n">
        <v>30</v>
      </c>
      <c r="B31" s="32" t="inlineStr">
        <is>
          <t>Addiko Bank v. Montenegro</t>
        </is>
      </c>
      <c r="C31" s="32" t="inlineStr">
        <is>
          <t>Addiko Bank AG v. Montenegro (ICSID Case No. ARB/17/35)</t>
        </is>
      </c>
      <c r="D31" s="32" t="inlineStr">
        <is>
          <t>Montenegro</t>
        </is>
      </c>
      <c r="E31" s="32" t="inlineStr">
        <is>
          <t>Europa Occidental</t>
        </is>
      </c>
      <c r="F31" s="32" t="inlineStr">
        <is>
          <t>Austria</t>
        </is>
      </c>
      <c r="G31" s="32" t="n">
        <v>2017</v>
      </c>
      <c r="H31" s="32" t="inlineStr">
        <is>
          <t>No - ganó el Estado</t>
        </is>
      </c>
      <c r="I31" s="32" t="inlineStr">
        <is>
          <t>No</t>
        </is>
      </c>
      <c r="J31" s="32" t="inlineStr">
        <is>
          <t>TJE - Trato Justo y Equitativo | Protección y Seguridad Plenas</t>
        </is>
      </c>
      <c r="K31" s="32" t="inlineStr"/>
      <c r="L31" s="32" t="inlineStr"/>
      <c r="M31" s="32" t="inlineStr">
        <is>
          <t>Tertiary - K - Financial and insurance activities</t>
        </is>
      </c>
      <c r="N31" s="32" t="inlineStr"/>
      <c r="O31" s="32" t="inlineStr">
        <is>
          <t>Austria - Montenegro BIT (2001)</t>
        </is>
      </c>
      <c r="P31" s="32" t="inlineStr"/>
      <c r="Q31" s="32" t="inlineStr">
        <is>
          <t>Hanotiau, B. - President; Tschanz, P.-Y. - Claimant; Stern, B. - Respondent</t>
        </is>
      </c>
      <c r="R31" s="32" t="inlineStr"/>
      <c r="S31" s="32" t="inlineStr"/>
      <c r="T31" s="32" t="inlineStr">
        <is>
          <t>Inglés</t>
        </is>
      </c>
      <c r="U31" s="32" t="inlineStr">
        <is>
          <t>https://www.italaw.com/cases/10093</t>
        </is>
      </c>
      <c r="V31" s="32" t="inlineStr">
        <is>
          <t>Sí</t>
        </is>
      </c>
    </row>
    <row r="32">
      <c r="A32" s="32" t="n">
        <v>31</v>
      </c>
      <c r="B32" s="32" t="inlineStr">
        <is>
          <t>Agility v. Iraq</t>
        </is>
      </c>
      <c r="C32" s="32" t="inlineStr">
        <is>
          <t>Agility Public Warehousing Company K.S.C. v. Republic of Iraq (ICSID Case No. ARB/17/7)</t>
        </is>
      </c>
      <c r="D32" s="32" t="inlineStr">
        <is>
          <t>Iraq</t>
        </is>
      </c>
      <c r="E32" s="32" t="inlineStr">
        <is>
          <t>Medio Oriente/Norte África</t>
        </is>
      </c>
      <c r="F32" s="32" t="inlineStr">
        <is>
          <t>Kuwait</t>
        </is>
      </c>
      <c r="G32" s="32" t="n">
        <v>2017</v>
      </c>
      <c r="H32" s="32" t="inlineStr">
        <is>
          <t>No - ganó el Estado</t>
        </is>
      </c>
      <c r="I32" s="32" t="inlineStr">
        <is>
          <t>No</t>
        </is>
      </c>
      <c r="J32" s="32" t="inlineStr">
        <is>
          <t>TJE - Trato Justo y Equitativo | Expropiación | Protección y Seguridad Plenas | NMF - Nación Más Favorecida | Trato Nacional</t>
        </is>
      </c>
      <c r="K32" s="32" t="inlineStr">
        <is>
          <t>652.10 USD</t>
        </is>
      </c>
      <c r="L32" s="32" t="inlineStr"/>
      <c r="M32" s="32" t="inlineStr">
        <is>
          <t>Tertiary - J - Information and communication</t>
        </is>
      </c>
      <c r="N32" s="32" t="inlineStr"/>
      <c r="O32" s="32" t="inlineStr">
        <is>
          <t>Iraq - Kuwait BIT (2013)</t>
        </is>
      </c>
      <c r="P32" s="32" t="inlineStr"/>
      <c r="Q32" s="32" t="inlineStr">
        <is>
          <t>Beechey, J. - Claimant; Murphy, S. D. - Respondent; Bull, C. - President</t>
        </is>
      </c>
      <c r="R32" s="32" t="inlineStr">
        <is>
          <t>ICSID annulment proceedings</t>
        </is>
      </c>
      <c r="S32" s="32" t="inlineStr">
        <is>
          <t>Pending ICSID annulment proceedings</t>
        </is>
      </c>
      <c r="T32" s="32" t="inlineStr">
        <is>
          <t>Inglés</t>
        </is>
      </c>
      <c r="U32" s="32" t="inlineStr">
        <is>
          <t>https://www.italaw.com/cases/5142</t>
        </is>
      </c>
      <c r="V32" s="32" t="inlineStr">
        <is>
          <t>Sí</t>
        </is>
      </c>
    </row>
    <row r="33">
      <c r="A33" s="33" t="n">
        <v>32</v>
      </c>
      <c r="B33" s="33" t="inlineStr">
        <is>
          <t>Air Canada v. Venezuela</t>
        </is>
      </c>
      <c r="C33" s="33" t="inlineStr">
        <is>
          <t>Air Canada v. Bolivarian Republic of Venezuela (ICSID Case No. ARB(AF)/17/1)</t>
        </is>
      </c>
      <c r="D33" s="33" t="inlineStr">
        <is>
          <t>Venezuela, Bolivarian Republic of</t>
        </is>
      </c>
      <c r="E33" s="33" t="inlineStr">
        <is>
          <t>América del Sur</t>
        </is>
      </c>
      <c r="F33" s="33" t="inlineStr">
        <is>
          <t>Canada</t>
        </is>
      </c>
      <c r="G33" s="33" t="n">
        <v>2017</v>
      </c>
      <c r="H33" s="33" t="inlineStr">
        <is>
          <t>Sí con daños</t>
        </is>
      </c>
      <c r="I33" s="33" t="inlineStr">
        <is>
          <t>Sí</t>
        </is>
      </c>
      <c r="J33" s="33" t="inlineStr">
        <is>
          <t>TJE - Trato Justo y Equitativo | Expropiación | Libre Transferencia | NMF - Nación Más Favorecida</t>
        </is>
      </c>
      <c r="K33" s="33" t="inlineStr">
        <is>
          <t>213.10 USD</t>
        </is>
      </c>
      <c r="L33" s="33" t="inlineStr">
        <is>
          <t>20.80 USD</t>
        </is>
      </c>
      <c r="M33" s="33" t="inlineStr">
        <is>
          <t>Tertiary - H - Transportation and storage</t>
        </is>
      </c>
      <c r="N33" s="33" t="inlineStr">
        <is>
          <t>Cambio regulatorio</t>
        </is>
      </c>
      <c r="O33" s="33" t="inlineStr">
        <is>
          <t>Canada - Venezuela, Bolivarian Republic of BIT (1996)</t>
        </is>
      </c>
      <c r="P33" s="33" t="inlineStr"/>
      <c r="Q33" s="33" t="inlineStr">
        <is>
          <t>Tercier, P. - President; Poncet, C. - Claimant; Villanúa Gómez, D. - Respondent</t>
        </is>
      </c>
      <c r="R33" s="33" t="inlineStr"/>
      <c r="S33" s="33" t="inlineStr"/>
      <c r="T33" s="33" t="inlineStr">
        <is>
          <t>Inglés</t>
        </is>
      </c>
      <c r="U33" s="33" t="inlineStr">
        <is>
          <t>https://www.italaw.com/cases/5004</t>
        </is>
      </c>
      <c r="V33" s="33" t="inlineStr">
        <is>
          <t>Sí</t>
        </is>
      </c>
    </row>
    <row r="34">
      <c r="A34" s="31" t="n">
        <v>33</v>
      </c>
      <c r="B34" s="31" t="inlineStr">
        <is>
          <t>Al Ramahi v. Hungary</t>
        </is>
      </c>
      <c r="C34" s="31" t="inlineStr">
        <is>
          <t>Mazen Al Ramahi v. Hungary (ICSID Case No. ARB/17/45)</t>
        </is>
      </c>
      <c r="D34" s="31" t="inlineStr">
        <is>
          <t>Hungary</t>
        </is>
      </c>
      <c r="E34" s="31" t="inlineStr">
        <is>
          <t>Europa Occidental</t>
        </is>
      </c>
      <c r="F34" s="31" t="inlineStr">
        <is>
          <t>Jordan</t>
        </is>
      </c>
      <c r="G34" s="31" t="n">
        <v>2017</v>
      </c>
      <c r="H34" s="31" t="inlineStr">
        <is>
          <t>No - ganó el Estado</t>
        </is>
      </c>
      <c r="I34" s="31" t="inlineStr">
        <is>
          <t>No</t>
        </is>
      </c>
      <c r="J34" s="31" t="inlineStr"/>
      <c r="K34" s="31" t="inlineStr"/>
      <c r="L34" s="31" t="inlineStr"/>
      <c r="M34" s="31" t="inlineStr">
        <is>
          <t>Tertiary - I - Accommodation and food service activities</t>
        </is>
      </c>
      <c r="N34" s="31" t="inlineStr"/>
      <c r="O34" s="31" t="inlineStr">
        <is>
          <t>Hungary - Jordan BIT (2007)</t>
        </is>
      </c>
      <c r="P34" s="31" t="inlineStr"/>
      <c r="Q34" s="31" t="inlineStr">
        <is>
          <t>Binnie, I. - President; Gharavi, H. G. - Claimant; Stern, B. - Respondent</t>
        </is>
      </c>
      <c r="R34" s="31" t="inlineStr"/>
      <c r="S34" s="31" t="inlineStr"/>
      <c r="T34" s="31" t="inlineStr"/>
      <c r="U34" s="31" t="inlineStr">
        <is>
          <t>Not available</t>
        </is>
      </c>
      <c r="V34" s="31" t="inlineStr">
        <is>
          <t>Pendiente</t>
        </is>
      </c>
    </row>
    <row r="35">
      <c r="A35" s="32" t="n">
        <v>34</v>
      </c>
      <c r="B35" s="32" t="inlineStr">
        <is>
          <t>Arin Capital and Khudyan v. Armenia</t>
        </is>
      </c>
      <c r="C35" s="32" t="inlineStr">
        <is>
          <t>Arin Capital &amp; Investment Corp. and Edmond Khudyan v. Republic of Armenia (ICSID Case No. ARB/17/36)</t>
        </is>
      </c>
      <c r="D35" s="32" t="inlineStr">
        <is>
          <t>Armenia</t>
        </is>
      </c>
      <c r="E35" s="32" t="inlineStr">
        <is>
          <t>Este Europa/Asia Central</t>
        </is>
      </c>
      <c r="F35" s="32" t="inlineStr">
        <is>
          <t>United States of America</t>
        </is>
      </c>
      <c r="G35" s="32" t="n">
        <v>2017</v>
      </c>
      <c r="H35" s="32" t="inlineStr">
        <is>
          <t>No - ganó el Estado</t>
        </is>
      </c>
      <c r="I35" s="32" t="inlineStr">
        <is>
          <t>No</t>
        </is>
      </c>
      <c r="J35" s="32" t="inlineStr"/>
      <c r="K35" s="32" t="inlineStr">
        <is>
          <t>15.00 USD</t>
        </is>
      </c>
      <c r="L35" s="32" t="inlineStr"/>
      <c r="M35" s="32" t="inlineStr">
        <is>
          <t>Tertiary - L - Real estate activities</t>
        </is>
      </c>
      <c r="N35" s="32" t="inlineStr"/>
      <c r="O35" s="32" t="inlineStr">
        <is>
          <t>Armenia - United States of America BIT (1992)</t>
        </is>
      </c>
      <c r="P35" s="32" t="inlineStr"/>
      <c r="Q35" s="32" t="inlineStr">
        <is>
          <t>van Leeuwen, M. - President; Santens, A. - Claimant; Douglas, Z. - Respondent</t>
        </is>
      </c>
      <c r="R35" s="32" t="inlineStr">
        <is>
          <t>ICSID annulment proceedings</t>
        </is>
      </c>
      <c r="S35" s="32" t="inlineStr">
        <is>
          <t>Award/decision partially annulled ICSID annulment proceedings</t>
        </is>
      </c>
      <c r="T35" s="32" t="inlineStr">
        <is>
          <t>Inglés</t>
        </is>
      </c>
      <c r="U35" s="32" t="inlineStr">
        <is>
          <t>https://www.italaw.com/cases/8413</t>
        </is>
      </c>
      <c r="V35" s="32" t="inlineStr">
        <is>
          <t>Sí</t>
        </is>
      </c>
    </row>
    <row r="36">
      <c r="A36" s="32" t="n">
        <v>35</v>
      </c>
      <c r="B36" s="32" t="inlineStr">
        <is>
          <t>Big Sky Energy v. Kazakhstan</t>
        </is>
      </c>
      <c r="C36" s="32" t="inlineStr">
        <is>
          <t>Big Sky Energy Corporation v. Republic of Kazakhstan (ICSID Case No. ARB/17/22)</t>
        </is>
      </c>
      <c r="D36" s="32" t="inlineStr">
        <is>
          <t>Kazakhstan</t>
        </is>
      </c>
      <c r="E36" s="32" t="inlineStr">
        <is>
          <t>Este Europa/Asia Central</t>
        </is>
      </c>
      <c r="F36" s="32" t="inlineStr">
        <is>
          <t>United States of America</t>
        </is>
      </c>
      <c r="G36" s="32" t="n">
        <v>2017</v>
      </c>
      <c r="H36" s="32" t="inlineStr">
        <is>
          <t>No - ganó el Estado</t>
        </is>
      </c>
      <c r="I36" s="32" t="inlineStr">
        <is>
          <t>No</t>
        </is>
      </c>
      <c r="J36" s="32" t="inlineStr">
        <is>
          <t>TJE - Trato Justo y Equitativo | Expropiación</t>
        </is>
      </c>
      <c r="K36" s="32" t="inlineStr">
        <is>
          <t>460.10 USD</t>
        </is>
      </c>
      <c r="L36" s="32" t="inlineStr"/>
      <c r="M36" s="32" t="inlineStr">
        <is>
          <t>Primary - B - Mining and quarrying</t>
        </is>
      </c>
      <c r="N36" s="32" t="inlineStr"/>
      <c r="O36" s="32" t="inlineStr">
        <is>
          <t>Kazakhstan - United States of America BIT (1992)</t>
        </is>
      </c>
      <c r="P36" s="32" t="inlineStr"/>
      <c r="Q36" s="32" t="inlineStr">
        <is>
          <t>Cremades, B. M. - President; Moser, M. J. - President (replaced); Alexandrov, S. A. - Claimant; Tomka, P. - Respondent; Knieper, R. - Respondent (replaced)</t>
        </is>
      </c>
      <c r="R36" s="32" t="inlineStr"/>
      <c r="S36" s="32" t="inlineStr"/>
      <c r="T36" s="32" t="inlineStr">
        <is>
          <t>Indeterminado</t>
        </is>
      </c>
      <c r="U36" s="32" t="inlineStr">
        <is>
          <t>https://www.italaw.com/cases/6162</t>
        </is>
      </c>
      <c r="V36" s="32" t="inlineStr">
        <is>
          <t>Sí</t>
        </is>
      </c>
    </row>
    <row r="37">
      <c r="A37" s="32" t="n">
        <v>36</v>
      </c>
      <c r="B37" s="32" t="inlineStr">
        <is>
          <t>CMC v. Mozambique</t>
        </is>
      </c>
      <c r="C37" s="32" t="inlineStr">
        <is>
          <t>CMC Africa Austral, LDA, CMC Muratori Cementisti CMC Di Ravenna SOC. Coop., and CMC MuratoriCementisti CMC Di Ravenna SOC. Coop. A.R.L. Maputo Branch and CMC Africa v. Republic of Mozambique (ICSID Case No. ARB/17/23)</t>
        </is>
      </c>
      <c r="D37" s="32" t="inlineStr">
        <is>
          <t>Mozambique</t>
        </is>
      </c>
      <c r="E37" s="32" t="inlineStr">
        <is>
          <t>África Subsahariana</t>
        </is>
      </c>
      <c r="F37" s="32" t="inlineStr">
        <is>
          <t>Italy</t>
        </is>
      </c>
      <c r="G37" s="32" t="n">
        <v>2017</v>
      </c>
      <c r="H37" s="32" t="inlineStr">
        <is>
          <t>No - ganó el Estado</t>
        </is>
      </c>
      <c r="I37" s="32" t="inlineStr">
        <is>
          <t>No</t>
        </is>
      </c>
      <c r="J37" s="32" t="inlineStr">
        <is>
          <t>Cláusula Paraguas</t>
        </is>
      </c>
      <c r="K37" s="32" t="inlineStr">
        <is>
          <t>11.80 EUR (13.10 USD)</t>
        </is>
      </c>
      <c r="L37" s="32" t="inlineStr"/>
      <c r="M37" s="32" t="inlineStr">
        <is>
          <t>Tertiary - F - Construction</t>
        </is>
      </c>
      <c r="N37" s="32" t="inlineStr"/>
      <c r="O37" s="32" t="inlineStr">
        <is>
          <t>Italy - Mozambique BIT (1998)</t>
        </is>
      </c>
      <c r="P37" s="32" t="inlineStr"/>
      <c r="Q37" s="32" t="inlineStr">
        <is>
          <t>Townsend, J. M. - President; Rees, P. - Claimant; Casey, J. B. - Respondent</t>
        </is>
      </c>
      <c r="R37" s="32" t="inlineStr"/>
      <c r="S37" s="32" t="inlineStr"/>
      <c r="T37" s="32" t="inlineStr">
        <is>
          <t>Inglés</t>
        </is>
      </c>
      <c r="U37" s="32" t="inlineStr">
        <is>
          <t>https://www.italaw.com/cases/7631</t>
        </is>
      </c>
      <c r="V37" s="32" t="inlineStr">
        <is>
          <t>Sí</t>
        </is>
      </c>
    </row>
    <row r="38">
      <c r="A38" s="33" t="n">
        <v>37</v>
      </c>
      <c r="B38" s="33" t="inlineStr">
        <is>
          <t>De Sutter and others v. Madagascar (II)</t>
        </is>
      </c>
      <c r="C38" s="33" t="inlineStr">
        <is>
          <t>Kristof de Sutter, Peter de Sutter and (DS)2, S.A. v. Republic of Madagascar (II) (ICSID Case No. ARB/17/18)</t>
        </is>
      </c>
      <c r="D38" s="33" t="inlineStr">
        <is>
          <t>Madagascar</t>
        </is>
      </c>
      <c r="E38" s="33" t="inlineStr">
        <is>
          <t>África Subsahariana</t>
        </is>
      </c>
      <c r="F38" s="33" t="inlineStr">
        <is>
          <t>Luxembourg;
Belgium</t>
        </is>
      </c>
      <c r="G38" s="33" t="n">
        <v>2017</v>
      </c>
      <c r="H38" s="33" t="inlineStr">
        <is>
          <t>Sí con daños</t>
        </is>
      </c>
      <c r="I38" s="33" t="inlineStr">
        <is>
          <t>Sí</t>
        </is>
      </c>
      <c r="J38" s="33" t="inlineStr"/>
      <c r="K38" s="33" t="inlineStr">
        <is>
          <t>25.20 EUR (27.40 USD)</t>
        </is>
      </c>
      <c r="L38" s="33" t="inlineStr">
        <is>
          <t>6.90 EUR (7.50 USD)</t>
        </is>
      </c>
      <c r="M38" s="33" t="inlineStr">
        <is>
          <t>Secondary - C - Manufacturing</t>
        </is>
      </c>
      <c r="N38" s="33" t="inlineStr"/>
      <c r="O38" s="33" t="inlineStr">
        <is>
          <t>BLEU (Belgium-Luxembourg Economic Union) - Madagascar BIT (2005)</t>
        </is>
      </c>
      <c r="P38" s="33" t="inlineStr"/>
      <c r="Q38" s="33" t="inlineStr">
        <is>
          <t>Kaufmann-Kohler, G. - President; Malinvaud, C. - Claimant; Pellet, A. - Respondent</t>
        </is>
      </c>
      <c r="R38" s="33" t="inlineStr">
        <is>
          <t>ICSID annulment proceedings</t>
        </is>
      </c>
      <c r="S38" s="33" t="inlineStr">
        <is>
          <t>Award/decision upheld ICSID annulment proceedings</t>
        </is>
      </c>
      <c r="T38" s="33" t="inlineStr">
        <is>
          <t>Inglés</t>
        </is>
      </c>
      <c r="U38" s="33" t="inlineStr">
        <is>
          <t>https://www.italaw.com/cases/5939</t>
        </is>
      </c>
      <c r="V38" s="33" t="inlineStr">
        <is>
          <t>Sí</t>
        </is>
      </c>
    </row>
    <row r="39">
      <c r="A39" s="33" t="n">
        <v>38</v>
      </c>
      <c r="B39" s="33" t="inlineStr">
        <is>
          <t>EcoDevelopment and EcoEnergy v. Tanzania</t>
        </is>
      </c>
      <c r="C39" s="33" t="inlineStr">
        <is>
          <t>EcoDevelopment in Europe AB and EcoEnergy Africa AB v. United Republic of Tanzania (ICSID Case No. ARB/17/33)</t>
        </is>
      </c>
      <c r="D39" s="33" t="inlineStr">
        <is>
          <t>Tanzania, United Republic of</t>
        </is>
      </c>
      <c r="E39" s="33" t="inlineStr">
        <is>
          <t>Sin clasificar</t>
        </is>
      </c>
      <c r="F39" s="33" t="inlineStr">
        <is>
          <t>Sweden</t>
        </is>
      </c>
      <c r="G39" s="33" t="n">
        <v>2017</v>
      </c>
      <c r="H39" s="33" t="inlineStr">
        <is>
          <t>Sí con daños</t>
        </is>
      </c>
      <c r="I39" s="33" t="inlineStr">
        <is>
          <t>Sí</t>
        </is>
      </c>
      <c r="J39" s="33" t="inlineStr">
        <is>
          <t>TJE - Trato Justo y Equitativo | Expropiación</t>
        </is>
      </c>
      <c r="K39" s="33" t="inlineStr"/>
      <c r="L39" s="33" t="inlineStr">
        <is>
          <t>164.60 USD</t>
        </is>
      </c>
      <c r="M39" s="33" t="inlineStr">
        <is>
          <t>Primary - A - Agriculture, forestry and fishing;
Secondary - C - Manufacturing</t>
        </is>
      </c>
      <c r="N39" s="33" t="inlineStr"/>
      <c r="O39" s="33" t="inlineStr">
        <is>
          <t>Sweden - United Republic of Tanzania BIT (1999)</t>
        </is>
      </c>
      <c r="P39" s="33" t="inlineStr"/>
      <c r="Q39" s="33" t="inlineStr">
        <is>
          <t>Greenwood, C. - President; Alexandrov, S. A. - Claimant; Adekoya, O. - Respondent</t>
        </is>
      </c>
      <c r="R39" s="33" t="inlineStr">
        <is>
          <t>ICSID annulment proceedings</t>
        </is>
      </c>
      <c r="S39" s="33" t="inlineStr">
        <is>
          <t>Discontinued ICSID annulment proceedings</t>
        </is>
      </c>
      <c r="T39" s="33" t="inlineStr">
        <is>
          <t>Inglés</t>
        </is>
      </c>
      <c r="U39" s="33" t="inlineStr">
        <is>
          <t>https://www.italaw.com/cases/10180</t>
        </is>
      </c>
      <c r="V39" s="33" t="inlineStr">
        <is>
          <t>Sí</t>
        </is>
      </c>
    </row>
    <row r="40">
      <c r="A40" s="32" t="n">
        <v>39</v>
      </c>
      <c r="B40" s="32" t="inlineStr">
        <is>
          <t>Elitech and Razvoj v. Croatia</t>
        </is>
      </c>
      <c r="C40" s="32" t="inlineStr">
        <is>
          <t>Elitech B.V. and Razvoj Golf D.O.O. v. Republic of Croatia (ICSID Case No. ARB/17/32)</t>
        </is>
      </c>
      <c r="D40" s="32" t="inlineStr">
        <is>
          <t>Croatia</t>
        </is>
      </c>
      <c r="E40" s="32" t="inlineStr">
        <is>
          <t>Europa Occidental</t>
        </is>
      </c>
      <c r="F40" s="32" t="inlineStr">
        <is>
          <t>Netherlands</t>
        </is>
      </c>
      <c r="G40" s="32" t="n">
        <v>2017</v>
      </c>
      <c r="H40" s="32" t="inlineStr">
        <is>
          <t>No - ganó el Estado</t>
        </is>
      </c>
      <c r="I40" s="32" t="inlineStr">
        <is>
          <t>No</t>
        </is>
      </c>
      <c r="J40" s="32" t="inlineStr">
        <is>
          <t>TJE - Trato Justo y Equitativo</t>
        </is>
      </c>
      <c r="K40" s="32" t="inlineStr">
        <is>
          <t>300.00 EUR (324.40 USD)</t>
        </is>
      </c>
      <c r="L40" s="32" t="inlineStr"/>
      <c r="M40" s="32" t="inlineStr">
        <is>
          <t>Tertiary - F - Construction;
Tertiary - R - Arts, entertainment and recreation;
Tertiary - L - Real estate activities</t>
        </is>
      </c>
      <c r="N40" s="32" t="inlineStr"/>
      <c r="O40" s="32" t="inlineStr">
        <is>
          <t>Croatia - Netherlands BIT (1998)</t>
        </is>
      </c>
      <c r="P40" s="32" t="inlineStr"/>
      <c r="Q40" s="32" t="inlineStr">
        <is>
          <t>McRae, D. M. - Respondent (replaced); Kaufmann-Kohler, G. - President; Gotanda, J. Y. - Claimant; Stern, B. - Respondent</t>
        </is>
      </c>
      <c r="R40" s="32" t="inlineStr"/>
      <c r="S40" s="32" t="inlineStr"/>
      <c r="T40" s="32" t="inlineStr">
        <is>
          <t>Indeterminado</t>
        </is>
      </c>
      <c r="U40" s="32" t="inlineStr">
        <is>
          <t>https://www.italaw.com/cases/6623</t>
        </is>
      </c>
      <c r="V40" s="32" t="inlineStr">
        <is>
          <t>Sí</t>
        </is>
      </c>
    </row>
    <row r="41">
      <c r="A41" s="31" t="n">
        <v>40</v>
      </c>
      <c r="B41" s="31" t="inlineStr">
        <is>
          <t>Eutelsat v. Mexico</t>
        </is>
      </c>
      <c r="C41" s="31" t="inlineStr">
        <is>
          <t>Eutelsat S.A. v. United Mexican States (ICSID Case No. ARB(AF)/17/2)</t>
        </is>
      </c>
      <c r="D41" s="31" t="inlineStr">
        <is>
          <t>Mexico</t>
        </is>
      </c>
      <c r="E41" s="31" t="inlineStr">
        <is>
          <t>América del Norte</t>
        </is>
      </c>
      <c r="F41" s="31" t="inlineStr">
        <is>
          <t>France</t>
        </is>
      </c>
      <c r="G41" s="31" t="n">
        <v>2017</v>
      </c>
      <c r="H41" s="31" t="inlineStr">
        <is>
          <t>No - ganó el Estado</t>
        </is>
      </c>
      <c r="I41" s="31" t="inlineStr">
        <is>
          <t>No</t>
        </is>
      </c>
      <c r="J41" s="31" t="inlineStr"/>
      <c r="K41" s="31" t="inlineStr">
        <is>
          <t>120.00 USD</t>
        </is>
      </c>
      <c r="L41" s="31" t="inlineStr"/>
      <c r="M41" s="31" t="inlineStr">
        <is>
          <t>Tertiary - J - Information and communication</t>
        </is>
      </c>
      <c r="N41" s="31" t="inlineStr"/>
      <c r="O41" s="31" t="inlineStr">
        <is>
          <t>France - Mexico BIT (1998)</t>
        </is>
      </c>
      <c r="P41" s="31" t="inlineStr"/>
      <c r="Q41" s="31" t="inlineStr">
        <is>
          <t>Bullard, A. - President; Orrego Vicuña, F. - Claimant (replaced); Kohen, M. G. - Respondent; Tawil, G. S. - Claimant</t>
        </is>
      </c>
      <c r="R41" s="31" t="inlineStr"/>
      <c r="S41" s="31" t="inlineStr"/>
      <c r="T41" s="31" t="inlineStr"/>
      <c r="U41" s="31" t="inlineStr">
        <is>
          <t>Not available</t>
        </is>
      </c>
      <c r="V41" s="31" t="inlineStr">
        <is>
          <t>Pendiente</t>
        </is>
      </c>
    </row>
    <row r="42">
      <c r="A42" s="33" t="n">
        <v>41</v>
      </c>
      <c r="B42" s="33" t="inlineStr">
        <is>
          <t>Gardabani and Silk Road v. Georgia</t>
        </is>
      </c>
      <c r="C42" s="33" t="inlineStr">
        <is>
          <t>Gardabani Holdings B.V. and Silk Road Holdings B.V v. Georgia (ICSID Case No. ARB/17/29)</t>
        </is>
      </c>
      <c r="D42" s="33" t="inlineStr">
        <is>
          <t>Georgia</t>
        </is>
      </c>
      <c r="E42" s="33" t="inlineStr">
        <is>
          <t>Este Europa/Asia Central</t>
        </is>
      </c>
      <c r="F42" s="33" t="inlineStr">
        <is>
          <t>Netherlands</t>
        </is>
      </c>
      <c r="G42" s="33" t="n">
        <v>2017</v>
      </c>
      <c r="H42" s="33" t="inlineStr">
        <is>
          <t>Sí con daños</t>
        </is>
      </c>
      <c r="I42" s="33" t="inlineStr">
        <is>
          <t>Sí</t>
        </is>
      </c>
      <c r="J42" s="33" t="inlineStr">
        <is>
          <t>TJE - Trato Justo y Equitativo | Cláusula Paraguas</t>
        </is>
      </c>
      <c r="K42" s="33" t="inlineStr">
        <is>
          <t>206.30 USD</t>
        </is>
      </c>
      <c r="L42" s="33" t="inlineStr">
        <is>
          <t>75.90 USD</t>
        </is>
      </c>
      <c r="M42" s="33" t="inlineStr">
        <is>
          <t>Tertiary - D - Electricity, gas, steam and air conditioning supply</t>
        </is>
      </c>
      <c r="N42" s="33" t="inlineStr">
        <is>
          <t>Cambio regulatorio</t>
        </is>
      </c>
      <c r="O42" s="33" t="inlineStr">
        <is>
          <t>Georgia - Netherlands BIT (1998)</t>
        </is>
      </c>
      <c r="P42" s="33" t="inlineStr"/>
      <c r="Q42" s="33" t="inlineStr">
        <is>
          <t>Álvarez, H. C. - President; Alexandrov, S. A. - Claimant; Douglas, Z. - Respondent; Grigera Naón, H. A. - Claimant (replaced)</t>
        </is>
      </c>
      <c r="R42" s="33" t="inlineStr">
        <is>
          <t>ICSID annulment proceedings</t>
        </is>
      </c>
      <c r="S42" s="33" t="inlineStr">
        <is>
          <t>Pending ICSID annulment proceedings</t>
        </is>
      </c>
      <c r="T42" s="33" t="inlineStr">
        <is>
          <t>Inglés</t>
        </is>
      </c>
      <c r="U42" s="33" t="inlineStr">
        <is>
          <t>https://www.italaw.com/cases/10246</t>
        </is>
      </c>
      <c r="V42" s="33" t="inlineStr">
        <is>
          <t>Sí</t>
        </is>
      </c>
    </row>
    <row r="43">
      <c r="A43" s="32" t="n">
        <v>42</v>
      </c>
      <c r="B43" s="32" t="inlineStr">
        <is>
          <t>Itisaluna Iraq and others v. Iraq</t>
        </is>
      </c>
      <c r="C43" s="32" t="inlineStr">
        <is>
          <t>Itisaluna Iraq LLC, Munir Sukhtian International Investment LLC, VTEL Holdings Ltd., VTEL Middle East and Africa Limited v. Republic of Iraq (ICSID Case No. ARB/17/10)</t>
        </is>
      </c>
      <c r="D43" s="32" t="inlineStr">
        <is>
          <t>Iraq</t>
        </is>
      </c>
      <c r="E43" s="32" t="inlineStr">
        <is>
          <t>Medio Oriente/Norte África</t>
        </is>
      </c>
      <c r="F43" s="32" t="inlineStr">
        <is>
          <t>Jordan;
United Arab Emirates</t>
        </is>
      </c>
      <c r="G43" s="32" t="n">
        <v>2017</v>
      </c>
      <c r="H43" s="32" t="inlineStr">
        <is>
          <t>No - ganó el Estado</t>
        </is>
      </c>
      <c r="I43" s="32" t="inlineStr">
        <is>
          <t>No</t>
        </is>
      </c>
      <c r="J43" s="32" t="inlineStr">
        <is>
          <t>TJE - Trato Justo y Equitativo | Expropiación | NMF - Nación Más Favorecida | Trato Nacional</t>
        </is>
      </c>
      <c r="K43" s="32" t="inlineStr"/>
      <c r="L43" s="32" t="inlineStr"/>
      <c r="M43" s="32" t="inlineStr">
        <is>
          <t>Tertiary - J - Information and communication</t>
        </is>
      </c>
      <c r="N43" s="32" t="inlineStr"/>
      <c r="O43" s="32" t="inlineStr">
        <is>
          <t>OIC Investment Agreement (1981)</t>
        </is>
      </c>
      <c r="P43" s="32" t="inlineStr"/>
      <c r="Q43" s="32" t="inlineStr">
        <is>
          <t>Bethlehem, D. - President; Peter, W. - Claimant; Stern, B. - Respondent</t>
        </is>
      </c>
      <c r="R43" s="32" t="inlineStr"/>
      <c r="S43" s="32" t="inlineStr"/>
      <c r="T43" s="32" t="inlineStr">
        <is>
          <t>Inglés</t>
        </is>
      </c>
      <c r="U43" s="32" t="inlineStr">
        <is>
          <t>https://www.italaw.com/cases/5591</t>
        </is>
      </c>
      <c r="V43" s="32" t="inlineStr">
        <is>
          <t>Sí</t>
        </is>
      </c>
    </row>
    <row r="44">
      <c r="A44" s="32" t="n">
        <v>43</v>
      </c>
      <c r="B44" s="32" t="inlineStr">
        <is>
          <t>Lidercón v. Peru</t>
        </is>
      </c>
      <c r="C44" s="32" t="inlineStr">
        <is>
          <t>Lidercón, S.L. v. Republic of Peru (ICSID Case No. ARB/17/9)</t>
        </is>
      </c>
      <c r="D44" s="32" t="inlineStr">
        <is>
          <t>Peru</t>
        </is>
      </c>
      <c r="E44" s="32" t="inlineStr">
        <is>
          <t>América del Sur</t>
        </is>
      </c>
      <c r="F44" s="32" t="inlineStr">
        <is>
          <t>Spain</t>
        </is>
      </c>
      <c r="G44" s="32" t="n">
        <v>2017</v>
      </c>
      <c r="H44" s="32" t="inlineStr">
        <is>
          <t>No - ganó el Estado</t>
        </is>
      </c>
      <c r="I44" s="32" t="inlineStr">
        <is>
          <t>No</t>
        </is>
      </c>
      <c r="J44" s="32" t="inlineStr"/>
      <c r="K44" s="32" t="inlineStr">
        <is>
          <t>123.00 USD</t>
        </is>
      </c>
      <c r="L44" s="32" t="inlineStr"/>
      <c r="M44" s="32" t="inlineStr">
        <is>
          <t>Tertiary - G - Wholesale and retail trade; repair of motor vehicles and motorcycles</t>
        </is>
      </c>
      <c r="N44" s="32" t="inlineStr">
        <is>
          <t>Cambio regulatorio</t>
        </is>
      </c>
      <c r="O44" s="32" t="inlineStr">
        <is>
          <t>Peru - Spain BIT (1994)</t>
        </is>
      </c>
      <c r="P44" s="32" t="inlineStr"/>
      <c r="Q44" s="32" t="inlineStr">
        <is>
          <t>Paulsson, J. - President; Gonzalez de Cossio, F. - Claimant; Perezcano Diaz, H. - Respondent</t>
        </is>
      </c>
      <c r="R44" s="32" t="inlineStr"/>
      <c r="S44" s="32" t="inlineStr"/>
      <c r="T44" s="32" t="inlineStr">
        <is>
          <t>Indeterminado</t>
        </is>
      </c>
      <c r="U44" s="32" t="inlineStr">
        <is>
          <t>https://www.italaw.com/cases/5565</t>
        </is>
      </c>
      <c r="V44" s="32" t="inlineStr">
        <is>
          <t>Sí</t>
        </is>
      </c>
    </row>
    <row r="45">
      <c r="A45" s="32" t="n">
        <v>44</v>
      </c>
      <c r="B45" s="32" t="inlineStr">
        <is>
          <t>Lotus v. Turkmenistan</t>
        </is>
      </c>
      <c r="C45" s="32" t="inlineStr">
        <is>
          <t>Lotus Holding Anonim Şirketi v. Turkmenistan (ICSID Case No. ARB/17/30)</t>
        </is>
      </c>
      <c r="D45" s="32" t="inlineStr">
        <is>
          <t>Turkmenistan</t>
        </is>
      </c>
      <c r="E45" s="32" t="inlineStr">
        <is>
          <t>Este Europa/Asia Central</t>
        </is>
      </c>
      <c r="F45" s="32" t="inlineStr">
        <is>
          <t>Türkiye</t>
        </is>
      </c>
      <c r="G45" s="32" t="n">
        <v>2017</v>
      </c>
      <c r="H45" s="32" t="inlineStr">
        <is>
          <t>No - ganó el Estado</t>
        </is>
      </c>
      <c r="I45" s="32" t="inlineStr">
        <is>
          <t>No</t>
        </is>
      </c>
      <c r="J45" s="32" t="inlineStr">
        <is>
          <t>Expropiación</t>
        </is>
      </c>
      <c r="K45" s="32" t="inlineStr">
        <is>
          <t>66.20 EUR (71.50 USD)</t>
        </is>
      </c>
      <c r="L45" s="32" t="inlineStr"/>
      <c r="M45" s="32" t="inlineStr">
        <is>
          <t>Secondary - C - Manufacturing;
Tertiary - D - Electricity, gas, steam and air conditioning supply</t>
        </is>
      </c>
      <c r="N45" s="32" t="inlineStr"/>
      <c r="O45" s="32" t="inlineStr">
        <is>
          <t>Turkey - Turkmenistan BIT (1992);
The Energy Charter Treaty (1994)</t>
        </is>
      </c>
      <c r="P45" s="32" t="inlineStr"/>
      <c r="Q45" s="32" t="inlineStr">
        <is>
          <t>Lowe, V. - President; Boykin, J. H. - Claimant; Stern, B. - Respondent</t>
        </is>
      </c>
      <c r="R45" s="32" t="inlineStr"/>
      <c r="S45" s="32" t="inlineStr"/>
      <c r="T45" s="32" t="inlineStr">
        <is>
          <t>Inglés</t>
        </is>
      </c>
      <c r="U45" s="32" t="inlineStr">
        <is>
          <t>https://www.italaw.com/cases/8095</t>
        </is>
      </c>
      <c r="V45" s="32" t="inlineStr">
        <is>
          <t>Sí</t>
        </is>
      </c>
    </row>
    <row r="46">
      <c r="A46" s="31" t="n">
        <v>45</v>
      </c>
      <c r="B46" s="31" t="inlineStr">
        <is>
          <t>LTME and Madamobil v. Madagascar</t>
        </is>
      </c>
      <c r="C46" s="31" t="inlineStr">
        <is>
          <t>LTME Mauritius Limited and Madamobil Holdings Mauritius Limited v. Republic of Madagascar (ICSID Case No. ARB/17/28)</t>
        </is>
      </c>
      <c r="D46" s="31" t="inlineStr">
        <is>
          <t>Madagascar</t>
        </is>
      </c>
      <c r="E46" s="31" t="inlineStr">
        <is>
          <t>África Subsahariana</t>
        </is>
      </c>
      <c r="F46" s="31" t="inlineStr">
        <is>
          <t>Mauritius</t>
        </is>
      </c>
      <c r="G46" s="31" t="n">
        <v>2017</v>
      </c>
      <c r="H46" s="31" t="inlineStr">
        <is>
          <t>No - ganó el Estado</t>
        </is>
      </c>
      <c r="I46" s="31" t="inlineStr">
        <is>
          <t>No</t>
        </is>
      </c>
      <c r="J46" s="31" t="inlineStr"/>
      <c r="K46" s="31" t="inlineStr"/>
      <c r="L46" s="31" t="inlineStr"/>
      <c r="M46" s="31" t="inlineStr">
        <is>
          <t>Tertiary - J - Information and communication</t>
        </is>
      </c>
      <c r="N46" s="31" t="inlineStr"/>
      <c r="O46" s="31" t="inlineStr">
        <is>
          <t>Madagascar - Mauritius BIT (2004)</t>
        </is>
      </c>
      <c r="P46" s="31" t="inlineStr"/>
      <c r="Q46" s="31" t="inlineStr">
        <is>
          <t>Edward, D. A. O. - President; Mantilla-Serrano, F. - Claimant; Stern, B. - Respondent</t>
        </is>
      </c>
      <c r="R46" s="31" t="inlineStr"/>
      <c r="S46" s="31" t="inlineStr"/>
      <c r="T46" s="31" t="inlineStr"/>
      <c r="U46" s="31" t="inlineStr">
        <is>
          <t>Not available</t>
        </is>
      </c>
      <c r="V46" s="31" t="inlineStr">
        <is>
          <t>Pendiente</t>
        </is>
      </c>
    </row>
    <row r="47">
      <c r="A47" s="33" t="n">
        <v>46</v>
      </c>
      <c r="B47" s="33" t="inlineStr">
        <is>
          <t>Magyar Farming and others v. Hungary</t>
        </is>
      </c>
      <c r="C47" s="33" t="inlineStr">
        <is>
          <t>Inicia Zrt, Kintyre Kft and Magyar Farming Company Ltd v. Hungary (ICSID Case No. ARB/17/27)</t>
        </is>
      </c>
      <c r="D47" s="33" t="inlineStr">
        <is>
          <t>Hungary</t>
        </is>
      </c>
      <c r="E47" s="33" t="inlineStr">
        <is>
          <t>Europa Occidental</t>
        </is>
      </c>
      <c r="F47" s="33" t="inlineStr">
        <is>
          <t>United Kingdom</t>
        </is>
      </c>
      <c r="G47" s="33" t="n">
        <v>2017</v>
      </c>
      <c r="H47" s="33" t="inlineStr">
        <is>
          <t>Sí con daños</t>
        </is>
      </c>
      <c r="I47" s="33" t="inlineStr">
        <is>
          <t>Sí</t>
        </is>
      </c>
      <c r="J47" s="33" t="inlineStr">
        <is>
          <t>Expropiación</t>
        </is>
      </c>
      <c r="K47" s="33" t="inlineStr">
        <is>
          <t>17.90 EUR (19.70 USD)</t>
        </is>
      </c>
      <c r="L47" s="33" t="inlineStr">
        <is>
          <t>7.10 EUR (7.90 USD)</t>
        </is>
      </c>
      <c r="M47" s="33" t="inlineStr">
        <is>
          <t>Primary - A - Agriculture, forestry and fishing</t>
        </is>
      </c>
      <c r="N47" s="33" t="inlineStr"/>
      <c r="O47" s="33" t="inlineStr">
        <is>
          <t>Hungary - United Kingdom BIT (1987)</t>
        </is>
      </c>
      <c r="P47" s="33" t="inlineStr"/>
      <c r="Q47" s="33" t="inlineStr">
        <is>
          <t>Kaufmann-Kohler, G. - President; Alexandrov, S. A. - Claimant; Hanefeld, I. - Respondent</t>
        </is>
      </c>
      <c r="R47" s="33" t="inlineStr">
        <is>
          <t>ICSID annulment proceedings</t>
        </is>
      </c>
      <c r="S47" s="33" t="inlineStr">
        <is>
          <t>Award/decision upheld ICSID annulment proceedings</t>
        </is>
      </c>
      <c r="T47" s="33" t="inlineStr">
        <is>
          <t>Inglés</t>
        </is>
      </c>
      <c r="U47" s="33" t="inlineStr">
        <is>
          <t>https://www.italaw.com/cases/7661</t>
        </is>
      </c>
      <c r="V47" s="33" t="inlineStr">
        <is>
          <t>Sí</t>
        </is>
      </c>
    </row>
    <row r="48">
      <c r="A48" s="32" t="n">
        <v>47</v>
      </c>
      <c r="B48" s="32" t="inlineStr">
        <is>
          <t>MAKAE v. Saudi Arabia</t>
        </is>
      </c>
      <c r="C48" s="32" t="inlineStr">
        <is>
          <t>MAKAE Europe SARL v. Kingdom of Saudi Arabia (ICSID Case No. ARB/17/42)</t>
        </is>
      </c>
      <c r="D48" s="32" t="inlineStr">
        <is>
          <t>Saudi Arabia</t>
        </is>
      </c>
      <c r="E48" s="32" t="inlineStr">
        <is>
          <t>Medio Oriente/Norte África</t>
        </is>
      </c>
      <c r="F48" s="32" t="inlineStr">
        <is>
          <t>France</t>
        </is>
      </c>
      <c r="G48" s="32" t="n">
        <v>2017</v>
      </c>
      <c r="H48" s="32" t="inlineStr">
        <is>
          <t>No - ganó el Estado</t>
        </is>
      </c>
      <c r="I48" s="32" t="inlineStr">
        <is>
          <t>No</t>
        </is>
      </c>
      <c r="J48" s="32" t="inlineStr">
        <is>
          <t>TJE - Trato Justo y Equitativo | Expropiación | NMF - Nación Más Favorecida</t>
        </is>
      </c>
      <c r="K48" s="32" t="inlineStr">
        <is>
          <t>570.60 USD</t>
        </is>
      </c>
      <c r="L48" s="32" t="inlineStr"/>
      <c r="M48" s="32" t="inlineStr">
        <is>
          <t>Tertiary - G - Wholesale and retail trade; repair of motor vehicles and motorcycles</t>
        </is>
      </c>
      <c r="N48" s="32" t="inlineStr"/>
      <c r="O48" s="32" t="inlineStr">
        <is>
          <t>France - Saudi Arabia BIT (2002)</t>
        </is>
      </c>
      <c r="P48" s="32" t="inlineStr"/>
      <c r="Q48" s="32" t="inlineStr">
        <is>
          <t>Crook, J. R. - President; Van Houtte, V. - Claimant; Hafez, K. - Respondent</t>
        </is>
      </c>
      <c r="R48" s="32" t="inlineStr"/>
      <c r="S48" s="32" t="inlineStr"/>
      <c r="T48" s="32" t="inlineStr">
        <is>
          <t>Inglés</t>
        </is>
      </c>
      <c r="U48" s="32" t="inlineStr">
        <is>
          <t>https://www.italaw.com/cases/9043</t>
        </is>
      </c>
      <c r="V48" s="32" t="inlineStr">
        <is>
          <t>Sí</t>
        </is>
      </c>
    </row>
    <row r="49">
      <c r="A49" s="32" t="n">
        <v>48</v>
      </c>
      <c r="B49" s="32" t="inlineStr">
        <is>
          <t>OHL and others v. Kuwait</t>
        </is>
      </c>
      <c r="C49" s="32" t="inlineStr">
        <is>
          <t>Obrascón Huarte Lain S.A., Rizzani de Eccher S.p.A. and Trevi S.p.A. v. State of Kuwait (ICSID Case No. ARB/17/8)</t>
        </is>
      </c>
      <c r="D49" s="32" t="inlineStr">
        <is>
          <t>Kuwait</t>
        </is>
      </c>
      <c r="E49" s="32" t="inlineStr">
        <is>
          <t>Medio Oriente/Norte África</t>
        </is>
      </c>
      <c r="F49" s="32" t="inlineStr">
        <is>
          <t>Spain;
Italy</t>
        </is>
      </c>
      <c r="G49" s="32" t="n">
        <v>2017</v>
      </c>
      <c r="H49" s="32" t="inlineStr">
        <is>
          <t>No - ganó el Estado</t>
        </is>
      </c>
      <c r="I49" s="32" t="inlineStr">
        <is>
          <t>No</t>
        </is>
      </c>
      <c r="J49" s="32" t="inlineStr">
        <is>
          <t>TJE - Trato Justo y Equitativo</t>
        </is>
      </c>
      <c r="K49" s="32" t="inlineStr">
        <is>
          <t>236.40 EUR (290.40 USD)</t>
        </is>
      </c>
      <c r="L49" s="32" t="inlineStr"/>
      <c r="M49" s="32" t="inlineStr">
        <is>
          <t>Tertiary - F - Construction</t>
        </is>
      </c>
      <c r="N49" s="32" t="inlineStr"/>
      <c r="O49" s="32" t="inlineStr">
        <is>
          <t>Italy - Kuwait BIT (1987);
Kuwait - Spain BIT (2005)</t>
        </is>
      </c>
      <c r="P49" s="32" t="inlineStr"/>
      <c r="Q49" s="32" t="inlineStr">
        <is>
          <t>Alexandrov, S. A. - Claimant; Douglas, Z. - Respondent; Bull, C. - President</t>
        </is>
      </c>
      <c r="R49" s="32" t="inlineStr">
        <is>
          <t>ICSID annulment proceedings</t>
        </is>
      </c>
      <c r="S49" s="32" t="inlineStr">
        <is>
          <t>Pending ICSID annulment proceedings</t>
        </is>
      </c>
      <c r="T49" s="32" t="inlineStr">
        <is>
          <t>Indeterminado</t>
        </is>
      </c>
      <c r="U49" s="32" t="inlineStr">
        <is>
          <t>https://www.italaw.com/cases/5412</t>
        </is>
      </c>
      <c r="V49" s="32" t="inlineStr">
        <is>
          <t>Sí</t>
        </is>
      </c>
    </row>
    <row r="50">
      <c r="A50" s="32" t="n">
        <v>49</v>
      </c>
      <c r="B50" s="32" t="inlineStr">
        <is>
          <t>Ortiz v. Algeria</t>
        </is>
      </c>
      <c r="C50" s="32" t="inlineStr">
        <is>
          <t>Ortiz Construcciones y Proyectos S.A. v. People's Democratic Republic of Algeria (ICSID Case No. ARB/17/1)</t>
        </is>
      </c>
      <c r="D50" s="32" t="inlineStr">
        <is>
          <t>Algeria</t>
        </is>
      </c>
      <c r="E50" s="32" t="inlineStr">
        <is>
          <t>Medio Oriente/Norte África</t>
        </is>
      </c>
      <c r="F50" s="32" t="inlineStr">
        <is>
          <t>Spain</t>
        </is>
      </c>
      <c r="G50" s="32" t="n">
        <v>2017</v>
      </c>
      <c r="H50" s="32" t="inlineStr">
        <is>
          <t>No - ganó el Estado</t>
        </is>
      </c>
      <c r="I50" s="32" t="inlineStr">
        <is>
          <t>No</t>
        </is>
      </c>
      <c r="J50" s="32" t="inlineStr">
        <is>
          <t>TJE - Trato Justo y Equitativo</t>
        </is>
      </c>
      <c r="K50" s="32" t="inlineStr">
        <is>
          <t>46.30 USD</t>
        </is>
      </c>
      <c r="L50" s="32" t="inlineStr"/>
      <c r="M50" s="32" t="inlineStr">
        <is>
          <t>Tertiary - F - Construction</t>
        </is>
      </c>
      <c r="N50" s="32" t="inlineStr">
        <is>
          <t>Nacionalización</t>
        </is>
      </c>
      <c r="O50" s="32" t="inlineStr">
        <is>
          <t>Algeria - Spain BIT (1994)</t>
        </is>
      </c>
      <c r="P50" s="32" t="inlineStr"/>
      <c r="Q50" s="32" t="inlineStr">
        <is>
          <t>Lévy, L. - President; Fortier, L. Y. - Claimant; Hanotiau, B. - Respondent</t>
        </is>
      </c>
      <c r="R50" s="32" t="inlineStr"/>
      <c r="S50" s="32" t="inlineStr"/>
      <c r="T50" s="32" t="inlineStr">
        <is>
          <t>Indeterminado</t>
        </is>
      </c>
      <c r="U50" s="32" t="inlineStr">
        <is>
          <t>https://www.italaw.com/cases/5008</t>
        </is>
      </c>
      <c r="V50" s="32" t="inlineStr">
        <is>
          <t>Sí</t>
        </is>
      </c>
    </row>
    <row r="51">
      <c r="A51" s="34" t="n">
        <v>50</v>
      </c>
      <c r="B51" s="34" t="inlineStr">
        <is>
          <t>Pawlowski and Projekt Sever v. Czech Republic</t>
        </is>
      </c>
      <c r="C51" s="34" t="inlineStr">
        <is>
          <t>Pawlowski AG and Projekt Sever s.r.o. v. Czech Republic (ICSID Case No. ARB/17/11)</t>
        </is>
      </c>
      <c r="D51" s="34" t="inlineStr">
        <is>
          <t>Czechia</t>
        </is>
      </c>
      <c r="E51" s="34" t="inlineStr">
        <is>
          <t>Sin clasificar</t>
        </is>
      </c>
      <c r="F51" s="34" t="inlineStr">
        <is>
          <t>Switzerland</t>
        </is>
      </c>
      <c r="G51" s="34" t="n">
        <v>2017</v>
      </c>
      <c r="H51" s="34" t="inlineStr">
        <is>
          <t>Sí sin daños</t>
        </is>
      </c>
      <c r="I51" s="34" t="inlineStr">
        <is>
          <t>Sí</t>
        </is>
      </c>
      <c r="J51" s="34" t="inlineStr">
        <is>
          <t>TJE - Trato Justo y Equitativo | NMF - Nación Más Favorecida | Trato Nacional</t>
        </is>
      </c>
      <c r="K51" s="34" t="inlineStr">
        <is>
          <t>5266.60 CZK (237.20 USD)</t>
        </is>
      </c>
      <c r="L51" s="34" t="inlineStr"/>
      <c r="M51" s="34" t="inlineStr">
        <is>
          <t>Tertiary - F - Construction</t>
        </is>
      </c>
      <c r="N51" s="34" t="inlineStr"/>
      <c r="O51" s="34" t="inlineStr">
        <is>
          <t>Czech Republic - Switzerland BIT (1990)</t>
        </is>
      </c>
      <c r="P51" s="34" t="inlineStr"/>
      <c r="Q51" s="34" t="inlineStr">
        <is>
          <t>Beechey, J. - Claimant; Fernández-Armesto, J. - President; Lowe, V. - Respondent</t>
        </is>
      </c>
      <c r="R51" s="34" t="inlineStr">
        <is>
          <t>ICSID annulment proceedings</t>
        </is>
      </c>
      <c r="S51" s="34" t="inlineStr">
        <is>
          <t>Pending ICSID annulment proceedings</t>
        </is>
      </c>
      <c r="T51" s="34" t="inlineStr">
        <is>
          <t>Inglés</t>
        </is>
      </c>
      <c r="U51" s="34" t="inlineStr">
        <is>
          <t>https://www.italaw.com/cases/5015</t>
        </is>
      </c>
      <c r="V51" s="34" t="inlineStr">
        <is>
          <t>Sí</t>
        </is>
      </c>
    </row>
    <row r="52">
      <c r="A52" s="32" t="n">
        <v>51</v>
      </c>
      <c r="B52" s="32" t="inlineStr">
        <is>
          <t>Ríos v. Chile</t>
        </is>
      </c>
      <c r="C52" s="32" t="inlineStr">
        <is>
          <t>Carlos Ríos and Francisco Ríos v. Republic of Chile (ICSID Case No. ARB/17/16)</t>
        </is>
      </c>
      <c r="D52" s="32" t="inlineStr">
        <is>
          <t>Chile</t>
        </is>
      </c>
      <c r="E52" s="32" t="inlineStr">
        <is>
          <t>América del Sur</t>
        </is>
      </c>
      <c r="F52" s="32" t="inlineStr">
        <is>
          <t>Colombia</t>
        </is>
      </c>
      <c r="G52" s="32" t="n">
        <v>2017</v>
      </c>
      <c r="H52" s="32" t="inlineStr">
        <is>
          <t>No - ganó el Estado</t>
        </is>
      </c>
      <c r="I52" s="32" t="inlineStr">
        <is>
          <t>No</t>
        </is>
      </c>
      <c r="J52" s="32" t="inlineStr">
        <is>
          <t>TJE - Trato Justo y Equitativo | Expropiación | NMF - Nación Más Favorecida</t>
        </is>
      </c>
      <c r="K52" s="32" t="inlineStr">
        <is>
          <t>347.00 USD</t>
        </is>
      </c>
      <c r="L52" s="32" t="inlineStr"/>
      <c r="M52" s="32" t="inlineStr">
        <is>
          <t>Tertiary - H - Transportation and storage</t>
        </is>
      </c>
      <c r="N52" s="32" t="inlineStr">
        <is>
          <t>Rescisión/terminación de contrato | Reducción/renegociación de tarifas</t>
        </is>
      </c>
      <c r="O52" s="32" t="inlineStr">
        <is>
          <t>Chile - Colombia FTA (2006)</t>
        </is>
      </c>
      <c r="P52" s="32" t="inlineStr"/>
      <c r="Q52" s="32" t="inlineStr">
        <is>
          <t>Garibaldi, O. M. - Claimant; Kaufmann-Kohler, G. - President; Stern, B. - Respondent</t>
        </is>
      </c>
      <c r="R52" s="32" t="inlineStr"/>
      <c r="S52" s="32" t="inlineStr"/>
      <c r="T52" s="32" t="inlineStr">
        <is>
          <t>Indeterminado</t>
        </is>
      </c>
      <c r="U52" s="32" t="inlineStr">
        <is>
          <t>https://www.italaw.com/cases/5933</t>
        </is>
      </c>
      <c r="V52" s="32" t="inlineStr">
        <is>
          <t>Sí</t>
        </is>
      </c>
    </row>
    <row r="53">
      <c r="A53" s="33" t="n">
        <v>52</v>
      </c>
      <c r="B53" s="33" t="inlineStr">
        <is>
          <t>Rockhopper v. Italy</t>
        </is>
      </c>
      <c r="C53" s="33" t="inlineStr">
        <is>
          <t>Rockhopper Exploration Plc, Rockhopper Italia S.p.A. and Rockhopper Mediterranean Ltd v. Italian Republic (ICSID Case No. ARB/17/14)</t>
        </is>
      </c>
      <c r="D53" s="33" t="inlineStr">
        <is>
          <t>Italy</t>
        </is>
      </c>
      <c r="E53" s="33" t="inlineStr">
        <is>
          <t>Europa Occidental</t>
        </is>
      </c>
      <c r="F53" s="33" t="inlineStr">
        <is>
          <t>United Kingdom</t>
        </is>
      </c>
      <c r="G53" s="33" t="n">
        <v>2017</v>
      </c>
      <c r="H53" s="33" t="inlineStr">
        <is>
          <t>Sí con daños</t>
        </is>
      </c>
      <c r="I53" s="33" t="inlineStr">
        <is>
          <t>Sí</t>
        </is>
      </c>
      <c r="J53" s="33" t="inlineStr">
        <is>
          <t>Expropiación</t>
        </is>
      </c>
      <c r="K53" s="33" t="inlineStr">
        <is>
          <t>281.70 EUR (281.30 USD)</t>
        </is>
      </c>
      <c r="L53" s="33" t="inlineStr">
        <is>
          <t>190.70 EUR (190.50 USD)</t>
        </is>
      </c>
      <c r="M53" s="33" t="inlineStr">
        <is>
          <t>Primary - B - Mining and quarrying</t>
        </is>
      </c>
      <c r="N53" s="33" t="inlineStr"/>
      <c r="O53" s="33" t="inlineStr">
        <is>
          <t>The Energy Charter Treaty (1994)</t>
        </is>
      </c>
      <c r="P53" s="33" t="inlineStr"/>
      <c r="Q53" s="33" t="inlineStr">
        <is>
          <t>Poncet, C. - Claimant; Dupuy, P.-M. - Respondent; Reichert, K. - President</t>
        </is>
      </c>
      <c r="R53" s="33" t="inlineStr">
        <is>
          <t>ICSID annulment proceedings</t>
        </is>
      </c>
      <c r="S53" s="33" t="inlineStr">
        <is>
          <t>Pending ICSID annulment proceedings</t>
        </is>
      </c>
      <c r="T53" s="33" t="inlineStr">
        <is>
          <t>Inglés</t>
        </is>
      </c>
      <c r="U53" s="33" t="inlineStr">
        <is>
          <t>https://www.italaw.com/cases/5788</t>
        </is>
      </c>
      <c r="V53" s="33" t="inlineStr">
        <is>
          <t>Sí</t>
        </is>
      </c>
    </row>
    <row r="54">
      <c r="A54" s="31" t="n">
        <v>53</v>
      </c>
      <c r="B54" s="31" t="inlineStr">
        <is>
          <t>Samsung v. Saudi Arabia</t>
        </is>
      </c>
      <c r="C54" s="31" t="inlineStr">
        <is>
          <t>Samsung Engineering Co., Ltd. v. Kingdom of Saudi Arabia  (ICSID Case No. ARB/17/43)</t>
        </is>
      </c>
      <c r="D54" s="31" t="inlineStr">
        <is>
          <t>Saudi Arabia</t>
        </is>
      </c>
      <c r="E54" s="31" t="inlineStr">
        <is>
          <t>Medio Oriente/Norte África</t>
        </is>
      </c>
      <c r="F54" s="31" t="inlineStr">
        <is>
          <t>Korea, Republic of</t>
        </is>
      </c>
      <c r="G54" s="31" t="n">
        <v>2017</v>
      </c>
      <c r="H54" s="31" t="inlineStr">
        <is>
          <t>No - ganó el Estado</t>
        </is>
      </c>
      <c r="I54" s="31" t="inlineStr">
        <is>
          <t>No</t>
        </is>
      </c>
      <c r="J54" s="31" t="inlineStr"/>
      <c r="K54" s="31" t="inlineStr"/>
      <c r="L54" s="31" t="inlineStr"/>
      <c r="M54" s="31" t="inlineStr">
        <is>
          <t>Tertiary - F - Construction</t>
        </is>
      </c>
      <c r="N54" s="31" t="inlineStr"/>
      <c r="O54" s="31" t="inlineStr">
        <is>
          <t>Korea, Republic of - Saudi Arabia BIT (2002)</t>
        </is>
      </c>
      <c r="P54" s="31" t="inlineStr"/>
      <c r="Q54" s="31" t="inlineStr">
        <is>
          <t>Zuleta, E. - President; Alexandrov, S. A. - Claimant; Kalicki, J. E. - Respondent</t>
        </is>
      </c>
      <c r="R54" s="31" t="inlineStr"/>
      <c r="S54" s="31" t="inlineStr"/>
      <c r="T54" s="31" t="inlineStr"/>
      <c r="U54" s="31" t="inlineStr">
        <is>
          <t>Not available</t>
        </is>
      </c>
      <c r="V54" s="31" t="inlineStr">
        <is>
          <t>Pendiente</t>
        </is>
      </c>
    </row>
    <row r="55">
      <c r="A55" s="32" t="n">
        <v>54</v>
      </c>
      <c r="B55" s="32" t="inlineStr">
        <is>
          <t>The Lopez-Goyne Family Trust and others v. Nicaragua</t>
        </is>
      </c>
      <c r="C55" s="32" t="inlineStr">
        <is>
          <t>Bailey, David A. Barish, Walter John Bilger and others v. Republic of Nicaragua (ICSID Case No. ARB/17/44)</t>
        </is>
      </c>
      <c r="D55" s="32" t="inlineStr">
        <is>
          <t>Nicaragua</t>
        </is>
      </c>
      <c r="E55" s="32" t="inlineStr">
        <is>
          <t>América Central/Caribe</t>
        </is>
      </c>
      <c r="F55" s="32" t="inlineStr">
        <is>
          <t>United States of America</t>
        </is>
      </c>
      <c r="G55" s="32" t="n">
        <v>2017</v>
      </c>
      <c r="H55" s="32" t="inlineStr">
        <is>
          <t>No - ganó el Estado</t>
        </is>
      </c>
      <c r="I55" s="32" t="inlineStr">
        <is>
          <t>No</t>
        </is>
      </c>
      <c r="J55" s="32" t="inlineStr">
        <is>
          <t>TJE - Trato Justo y Equitativo | Expropiación | NMF - Nación Más Favorecida</t>
        </is>
      </c>
      <c r="K55" s="32" t="inlineStr">
        <is>
          <t>198.00 USD</t>
        </is>
      </c>
      <c r="L55" s="32" t="inlineStr"/>
      <c r="M55" s="32" t="inlineStr">
        <is>
          <t>Primary - B - Mining and quarrying</t>
        </is>
      </c>
      <c r="N55" s="32" t="inlineStr"/>
      <c r="O55" s="32" t="inlineStr">
        <is>
          <t>CAFTA - DR (2004)</t>
        </is>
      </c>
      <c r="P55" s="32" t="inlineStr"/>
      <c r="Q55" s="32" t="inlineStr">
        <is>
          <t>Radicati di Brozolo, L. - President; Martínez de Hoz, J. A. - Claimant; Stern, B. - Respondent</t>
        </is>
      </c>
      <c r="R55" s="32" t="inlineStr">
        <is>
          <t>ICSID annulment proceedings</t>
        </is>
      </c>
      <c r="S55" s="32" t="inlineStr">
        <is>
          <t>Discontinued ICSID annulment proceedings</t>
        </is>
      </c>
      <c r="T55" s="32" t="inlineStr">
        <is>
          <t>Inglés</t>
        </is>
      </c>
      <c r="U55" s="32" t="inlineStr">
        <is>
          <t>https://www.italaw.com/cases/7486</t>
        </is>
      </c>
      <c r="V55" s="32" t="inlineStr">
        <is>
          <t>Sí</t>
        </is>
      </c>
    </row>
    <row r="56">
      <c r="A56" s="32" t="n">
        <v>55</v>
      </c>
      <c r="B56" s="32" t="inlineStr">
        <is>
          <t>Vento v. Mexico</t>
        </is>
      </c>
      <c r="C56" s="32" t="inlineStr">
        <is>
          <t>Vento Motorcycles, Inc. v. United Mexican States (ICSID Case No. ARB(AF)/17/3)</t>
        </is>
      </c>
      <c r="D56" s="32" t="inlineStr">
        <is>
          <t>Mexico</t>
        </is>
      </c>
      <c r="E56" s="32" t="inlineStr">
        <is>
          <t>América del Norte</t>
        </is>
      </c>
      <c r="F56" s="32" t="inlineStr">
        <is>
          <t>United States of America</t>
        </is>
      </c>
      <c r="G56" s="32" t="n">
        <v>2017</v>
      </c>
      <c r="H56" s="32" t="inlineStr">
        <is>
          <t>No - ganó el Estado</t>
        </is>
      </c>
      <c r="I56" s="32" t="inlineStr">
        <is>
          <t>No</t>
        </is>
      </c>
      <c r="J56" s="32" t="inlineStr"/>
      <c r="K56" s="32" t="inlineStr">
        <is>
          <t>2748.00 USD</t>
        </is>
      </c>
      <c r="L56" s="32" t="inlineStr"/>
      <c r="M56" s="32" t="inlineStr">
        <is>
          <t>Secondary - C - Manufacturing</t>
        </is>
      </c>
      <c r="N56" s="32" t="inlineStr"/>
      <c r="O56" s="32" t="inlineStr">
        <is>
          <t>NAFTA (1992)</t>
        </is>
      </c>
      <c r="P56" s="32" t="inlineStr"/>
      <c r="Q56" s="32" t="inlineStr">
        <is>
          <t>Gantz, D. A. - Claimant; Rigo Sureda, A. - President; Perezcano Diaz, H. - Respondent</t>
        </is>
      </c>
      <c r="R56" s="32" t="inlineStr">
        <is>
          <t>Judicial review by national courts</t>
        </is>
      </c>
      <c r="S56" s="32" t="inlineStr">
        <is>
          <t>Award/decision upheld Judicial review by national courts</t>
        </is>
      </c>
      <c r="T56" s="32" t="inlineStr">
        <is>
          <t>Inglés</t>
        </is>
      </c>
      <c r="U56" s="32" t="inlineStr">
        <is>
          <t>https://www.italaw.com/cases/6893</t>
        </is>
      </c>
      <c r="V56" s="32" t="inlineStr">
        <is>
          <t>Sí</t>
        </is>
      </c>
    </row>
    <row r="57">
      <c r="A57" s="31" t="n">
        <v>56</v>
      </c>
      <c r="B57" s="31" t="inlineStr">
        <is>
          <t>Agroinsumos Ibero-Americanos and others v. Venezuela</t>
        </is>
      </c>
      <c r="C57" s="31" t="inlineStr">
        <is>
          <t>Agroinsumos Ibero-Americanos, S.L., Inica Latinoamericana, S.L., Proyefa Internacional, S.L., Verica Atlántica, S.L. v. Bolivarian Republic of Venezuela (ICSID Case No. ARB/16/23)</t>
        </is>
      </c>
      <c r="D57" s="31" t="inlineStr">
        <is>
          <t>Venezuela, Bolivarian Republic of</t>
        </is>
      </c>
      <c r="E57" s="31" t="inlineStr">
        <is>
          <t>América del Sur</t>
        </is>
      </c>
      <c r="F57" s="31" t="inlineStr">
        <is>
          <t>Spain</t>
        </is>
      </c>
      <c r="G57" s="31" t="n">
        <v>2016</v>
      </c>
      <c r="H57" s="31" t="inlineStr">
        <is>
          <t>Sí con daños</t>
        </is>
      </c>
      <c r="I57" s="31" t="inlineStr">
        <is>
          <t>Sí</t>
        </is>
      </c>
      <c r="J57" s="31" t="inlineStr"/>
      <c r="K57" s="31" t="inlineStr"/>
      <c r="L57" s="31" t="inlineStr">
        <is>
          <t>1630.00 USD</t>
        </is>
      </c>
      <c r="M57" s="31" t="inlineStr">
        <is>
          <t>Primary - A - Agriculture, forestry and fishing</t>
        </is>
      </c>
      <c r="N57" s="31" t="inlineStr"/>
      <c r="O57" s="31" t="inlineStr">
        <is>
          <t>Spain - Venezuela, Bolivarian Republic of BIT (1995)</t>
        </is>
      </c>
      <c r="P57" s="31" t="inlineStr"/>
      <c r="Q57" s="31" t="inlineStr">
        <is>
          <t>Zuleta, E. - President; Grigera Naón, H. A. - Claimant; Bottini, G. - Respondent</t>
        </is>
      </c>
      <c r="R57" s="31" t="inlineStr">
        <is>
          <t>ICSID annulment proceedings</t>
        </is>
      </c>
      <c r="S57" s="31" t="inlineStr">
        <is>
          <t>Pending ICSID annulment proceedings</t>
        </is>
      </c>
      <c r="T57" s="31" t="inlineStr"/>
      <c r="U57" s="31" t="inlineStr">
        <is>
          <t>Not available</t>
        </is>
      </c>
      <c r="V57" s="31" t="inlineStr">
        <is>
          <t>Pendiente</t>
        </is>
      </c>
    </row>
    <row r="58">
      <c r="A58" s="33" t="n">
        <v>57</v>
      </c>
      <c r="B58" s="33" t="inlineStr">
        <is>
          <t>Alhambra v. Kazakhstan</t>
        </is>
      </c>
      <c r="C58" s="33" t="inlineStr">
        <is>
          <t>Alhambra Resources Ltd. and Alhambra Coӧperatief U.A. v. Republic of Kazakhstan (ICSID Case No. ARB/16/12)</t>
        </is>
      </c>
      <c r="D58" s="33" t="inlineStr">
        <is>
          <t>Kazakhstan</t>
        </is>
      </c>
      <c r="E58" s="33" t="inlineStr">
        <is>
          <t>Este Europa/Asia Central</t>
        </is>
      </c>
      <c r="F58" s="33" t="inlineStr">
        <is>
          <t>Netherlands;
Canada</t>
        </is>
      </c>
      <c r="G58" s="33" t="n">
        <v>2016</v>
      </c>
      <c r="H58" s="33" t="inlineStr">
        <is>
          <t>Sí con daños</t>
        </is>
      </c>
      <c r="I58" s="33" t="inlineStr">
        <is>
          <t>Sí</t>
        </is>
      </c>
      <c r="J58" s="33" t="inlineStr">
        <is>
          <t>TJE - Trato Justo y Equitativo</t>
        </is>
      </c>
      <c r="K58" s="33" t="inlineStr">
        <is>
          <t>100.00 USD</t>
        </is>
      </c>
      <c r="L58" s="33" t="inlineStr"/>
      <c r="M58" s="33" t="inlineStr">
        <is>
          <t>Primary - B - Mining and quarrying</t>
        </is>
      </c>
      <c r="N58" s="33" t="inlineStr"/>
      <c r="O58" s="33" t="inlineStr">
        <is>
          <t>Kazakhstan - Netherlands BIT (2002)</t>
        </is>
      </c>
      <c r="P58" s="33" t="inlineStr"/>
      <c r="Q58" s="33" t="inlineStr">
        <is>
          <t>van Houtte, H. - President; Beechey, J. - Claimant; Kalicki, J. E. - Respondent</t>
        </is>
      </c>
      <c r="R58" s="33" t="inlineStr">
        <is>
          <t>ICSID annulment proceedings;
ICSID resubmission proceedings</t>
        </is>
      </c>
      <c r="S58" s="33" t="inlineStr">
        <is>
          <t>Award/decision partially annulled ICSID annulment proceedings;
Pending ICSID resubmission proceedings</t>
        </is>
      </c>
      <c r="T58" s="33" t="inlineStr">
        <is>
          <t>Indeterminado</t>
        </is>
      </c>
      <c r="U58" s="33" t="inlineStr">
        <is>
          <t>https://www.italaw.com/cases/5879</t>
        </is>
      </c>
      <c r="V58" s="33" t="inlineStr">
        <is>
          <t>Sí</t>
        </is>
      </c>
    </row>
    <row r="59">
      <c r="A59" s="31" t="n">
        <v>58</v>
      </c>
      <c r="B59" s="31" t="inlineStr">
        <is>
          <t>América Móvil v. Colombia</t>
        </is>
      </c>
      <c r="C59" s="31" t="inlineStr">
        <is>
          <t>América Móvil S.A.B. de C.V. v. Republic of Colombia (ICSID Case No. ARB(AF)/16/5)</t>
        </is>
      </c>
      <c r="D59" s="31" t="inlineStr">
        <is>
          <t>Colombia</t>
        </is>
      </c>
      <c r="E59" s="31" t="inlineStr">
        <is>
          <t>América del Sur</t>
        </is>
      </c>
      <c r="F59" s="31" t="inlineStr">
        <is>
          <t>Mexico</t>
        </is>
      </c>
      <c r="G59" s="31" t="n">
        <v>2016</v>
      </c>
      <c r="H59" s="31" t="inlineStr">
        <is>
          <t>No - ganó el Estado</t>
        </is>
      </c>
      <c r="I59" s="31" t="inlineStr">
        <is>
          <t>No</t>
        </is>
      </c>
      <c r="J59" s="31" t="inlineStr"/>
      <c r="K59" s="31" t="inlineStr">
        <is>
          <t>1020.00 USD</t>
        </is>
      </c>
      <c r="L59" s="31" t="inlineStr"/>
      <c r="M59" s="31" t="inlineStr">
        <is>
          <t>Tertiary - J - Information and communication</t>
        </is>
      </c>
      <c r="N59" s="31" t="inlineStr"/>
      <c r="O59" s="31" t="inlineStr">
        <is>
          <t>Colombia - Mexico-Venezuela FTA (1994)</t>
        </is>
      </c>
      <c r="P59" s="31" t="inlineStr"/>
      <c r="Q59" s="31" t="inlineStr">
        <is>
          <t>Martínez de Hoz, J. A. - Claimant; Oreamuno Blanco, R. - Respondent; Radicati di Brozolo, L. - President</t>
        </is>
      </c>
      <c r="R59" s="31" t="inlineStr"/>
      <c r="S59" s="31" t="inlineStr"/>
      <c r="T59" s="31" t="inlineStr"/>
      <c r="U59" s="31" t="inlineStr">
        <is>
          <t>Not available</t>
        </is>
      </c>
      <c r="V59" s="31" t="inlineStr">
        <is>
          <t>Pendiente</t>
        </is>
      </c>
    </row>
    <row r="60">
      <c r="A60" s="31" t="n">
        <v>59</v>
      </c>
      <c r="B60" s="31" t="inlineStr">
        <is>
          <t>Amlyn v. Croatia</t>
        </is>
      </c>
      <c r="C60" s="31" t="inlineStr">
        <is>
          <t>Amlyn Holding B.V. v. Republic of Croatia (ICSID Case No. ARB/16/28)</t>
        </is>
      </c>
      <c r="D60" s="31" t="inlineStr">
        <is>
          <t>Croatia</t>
        </is>
      </c>
      <c r="E60" s="31" t="inlineStr">
        <is>
          <t>Europa Occidental</t>
        </is>
      </c>
      <c r="F60" s="31" t="inlineStr">
        <is>
          <t>Netherlands</t>
        </is>
      </c>
      <c r="G60" s="31" t="n">
        <v>2016</v>
      </c>
      <c r="H60" s="31" t="inlineStr">
        <is>
          <t>Sí sin daños</t>
        </is>
      </c>
      <c r="I60" s="31" t="inlineStr">
        <is>
          <t>Sí</t>
        </is>
      </c>
      <c r="J60" s="31" t="inlineStr"/>
      <c r="K60" s="31" t="inlineStr">
        <is>
          <t>71.10 EUR (82.80 USD)</t>
        </is>
      </c>
      <c r="L60" s="31" t="inlineStr"/>
      <c r="M60" s="31" t="inlineStr">
        <is>
          <t>Tertiary - D - Electricity, gas, steam and air conditioning supply</t>
        </is>
      </c>
      <c r="N60" s="31" t="inlineStr"/>
      <c r="O60" s="31" t="inlineStr">
        <is>
          <t>The Energy Charter Treaty (1994)</t>
        </is>
      </c>
      <c r="P60" s="31" t="inlineStr"/>
      <c r="Q60" s="31" t="inlineStr">
        <is>
          <t>Alexandrov, S. A. - Claimant; Stern, B. - Respondent; Drymer, S. L. - President</t>
        </is>
      </c>
      <c r="R60" s="31" t="inlineStr"/>
      <c r="S60" s="31" t="inlineStr"/>
      <c r="T60" s="31" t="inlineStr"/>
      <c r="U60" s="31" t="inlineStr">
        <is>
          <t>Not available</t>
        </is>
      </c>
      <c r="V60" s="31" t="inlineStr">
        <is>
          <t>Pendiente</t>
        </is>
      </c>
    </row>
    <row r="61">
      <c r="A61" s="33" t="n">
        <v>60</v>
      </c>
      <c r="B61" s="33" t="inlineStr">
        <is>
          <t>Biram and others v. Spain</t>
        </is>
      </c>
      <c r="C61" s="33" t="inlineStr">
        <is>
          <t>Aharon Naftali Biram, Gilatz Spain SL, Redmill Holdings Ltd and Sun-Flower Olmeda GmbH v. Kingdom of Spain (ICSID Case No. ARB/16/17)</t>
        </is>
      </c>
      <c r="D61" s="33" t="inlineStr">
        <is>
          <t>Spain</t>
        </is>
      </c>
      <c r="E61" s="33" t="inlineStr">
        <is>
          <t>Europa Occidental</t>
        </is>
      </c>
      <c r="F61" s="33" t="inlineStr">
        <is>
          <t>Germany;
United Kingdom</t>
        </is>
      </c>
      <c r="G61" s="33" t="n">
        <v>2016</v>
      </c>
      <c r="H61" s="33" t="inlineStr">
        <is>
          <t>Sí con daños</t>
        </is>
      </c>
      <c r="I61" s="33" t="inlineStr">
        <is>
          <t>Sí</t>
        </is>
      </c>
      <c r="J61" s="33" t="inlineStr">
        <is>
          <t>TJE - Trato Justo y Equitativo | Expropiación | NMF - Nación Más Favorecida | Trato Nacional</t>
        </is>
      </c>
      <c r="K61" s="33" t="inlineStr">
        <is>
          <t>69.00 EUR (80.10 USD)</t>
        </is>
      </c>
      <c r="L61" s="33" t="inlineStr">
        <is>
          <t>47.30 EUR (56.30 USD)</t>
        </is>
      </c>
      <c r="M61" s="33" t="inlineStr">
        <is>
          <t>Tertiary - D - Electricity, gas, steam and air conditioning supply</t>
        </is>
      </c>
      <c r="N61" s="33" t="inlineStr"/>
      <c r="O61" s="33" t="inlineStr">
        <is>
          <t>The Energy Charter Treaty (1994)</t>
        </is>
      </c>
      <c r="P61" s="33" t="inlineStr"/>
      <c r="Q61" s="33" t="inlineStr">
        <is>
          <t>Bernardini, P. - Respondent (replaced); Johnson, O. T. - Claimant; Greenwood, C. - President; Kohen, M. G. - Respondent</t>
        </is>
      </c>
      <c r="R61" s="33" t="inlineStr">
        <is>
          <t>ICSID annulment proceedings</t>
        </is>
      </c>
      <c r="S61" s="33" t="inlineStr">
        <is>
          <t>Unknown ICSID annulment proceedings</t>
        </is>
      </c>
      <c r="T61" s="33" t="inlineStr">
        <is>
          <t>Indeterminado</t>
        </is>
      </c>
      <c r="U61" s="33" t="inlineStr">
        <is>
          <t>https://italaw.com/cases/9423</t>
        </is>
      </c>
      <c r="V61" s="33" t="inlineStr">
        <is>
          <t>Sí</t>
        </is>
      </c>
    </row>
    <row r="62">
      <c r="A62" s="32" t="n">
        <v>61</v>
      </c>
      <c r="B62" s="32" t="inlineStr">
        <is>
          <t>Bridgestone v. Panama</t>
        </is>
      </c>
      <c r="C62" s="32" t="inlineStr">
        <is>
          <t>Bridgestone Americas, Inc. and Bridgestone Licensing Services, Inc. v. Republic of Panama (ICSID Case No. ARB/16/34)</t>
        </is>
      </c>
      <c r="D62" s="32" t="inlineStr">
        <is>
          <t>Panama</t>
        </is>
      </c>
      <c r="E62" s="32" t="inlineStr">
        <is>
          <t>América Central/Caribe</t>
        </is>
      </c>
      <c r="F62" s="32" t="inlineStr">
        <is>
          <t>United States of America</t>
        </is>
      </c>
      <c r="G62" s="32" t="n">
        <v>2016</v>
      </c>
      <c r="H62" s="32" t="inlineStr">
        <is>
          <t>No - ganó el Estado</t>
        </is>
      </c>
      <c r="I62" s="32" t="inlineStr">
        <is>
          <t>No</t>
        </is>
      </c>
      <c r="J62" s="32" t="inlineStr"/>
      <c r="K62" s="32" t="inlineStr">
        <is>
          <t>16.00 USD</t>
        </is>
      </c>
      <c r="L62" s="32" t="inlineStr"/>
      <c r="M62" s="32" t="inlineStr">
        <is>
          <t>Secondary - C - Manufacturing</t>
        </is>
      </c>
      <c r="N62" s="32" t="inlineStr">
        <is>
          <t>Denegación de permiso</t>
        </is>
      </c>
      <c r="O62" s="32" t="inlineStr">
        <is>
          <t>Panama - United States FTA (2007)</t>
        </is>
      </c>
      <c r="P62" s="32" t="inlineStr"/>
      <c r="Q62" s="32" t="inlineStr">
        <is>
          <t>Grigera Naón, H. A. - Claimant; Thomas, J. C. - Respondent; Phillips, N. - President</t>
        </is>
      </c>
      <c r="R62" s="32" t="inlineStr"/>
      <c r="S62" s="32" t="inlineStr"/>
      <c r="T62" s="32" t="inlineStr">
        <is>
          <t>Indeterminado</t>
        </is>
      </c>
      <c r="U62" s="32" t="inlineStr">
        <is>
          <t>http://www.italaw.com/cases/4475</t>
        </is>
      </c>
      <c r="V62" s="32" t="inlineStr">
        <is>
          <t>Sí</t>
        </is>
      </c>
    </row>
    <row r="63">
      <c r="A63" s="31" t="n">
        <v>62</v>
      </c>
      <c r="B63" s="31" t="inlineStr">
        <is>
          <t>Champion Holding Company and others v. Egypt</t>
        </is>
      </c>
      <c r="C63" s="31" t="inlineStr">
        <is>
          <t>Champion Holding Company, James Tarrick Wahba, John Byron Wahba and others v. Arab Republic of Egypt (ICSID Case No. ARB/16/2)</t>
        </is>
      </c>
      <c r="D63" s="31" t="inlineStr">
        <is>
          <t>Egypt</t>
        </is>
      </c>
      <c r="E63" s="31" t="inlineStr">
        <is>
          <t>Medio Oriente/Norte África</t>
        </is>
      </c>
      <c r="F63" s="31" t="inlineStr">
        <is>
          <t>United States of America</t>
        </is>
      </c>
      <c r="G63" s="31" t="n">
        <v>2016</v>
      </c>
      <c r="H63" s="31" t="inlineStr">
        <is>
          <t>No - ganó el Estado</t>
        </is>
      </c>
      <c r="I63" s="31" t="inlineStr">
        <is>
          <t>No</t>
        </is>
      </c>
      <c r="J63" s="31" t="inlineStr"/>
      <c r="K63" s="31" t="inlineStr">
        <is>
          <t>500.00 USD</t>
        </is>
      </c>
      <c r="L63" s="31" t="inlineStr"/>
      <c r="M63" s="31" t="inlineStr">
        <is>
          <t>Primary - A - Agriculture, forestry and fishing</t>
        </is>
      </c>
      <c r="N63" s="31" t="inlineStr"/>
      <c r="O63" s="31" t="inlineStr">
        <is>
          <t>Egypt - United States of America BIT (1986)</t>
        </is>
      </c>
      <c r="P63" s="31" t="inlineStr"/>
      <c r="Q63" s="31" t="inlineStr">
        <is>
          <t>McLaren, R. H. - Claimant; Douglas, Z. - Respondent; Khan, M. A. - President (replaced); Paulsson, J. - President</t>
        </is>
      </c>
      <c r="R63" s="31" t="inlineStr"/>
      <c r="S63" s="31" t="inlineStr"/>
      <c r="T63" s="31" t="inlineStr"/>
      <c r="U63" s="31" t="inlineStr">
        <is>
          <t>Not available</t>
        </is>
      </c>
      <c r="V63" s="31" t="inlineStr">
        <is>
          <t>Pendiente</t>
        </is>
      </c>
    </row>
    <row r="64">
      <c r="A64" s="33" t="n">
        <v>63</v>
      </c>
      <c r="B64" s="33" t="inlineStr">
        <is>
          <t>Cordoba Beheer and others v. Spain</t>
        </is>
      </c>
      <c r="C64" s="33" t="inlineStr">
        <is>
          <t>Cordoba Beheer B.V., Cross Retail S.L., Sevilla Beheer B.V., Spanish project companies v. Kingdom of Spain (ICSID Case No. ARB/16/27)</t>
        </is>
      </c>
      <c r="D64" s="33" t="inlineStr">
        <is>
          <t>Spain</t>
        </is>
      </c>
      <c r="E64" s="33" t="inlineStr">
        <is>
          <t>Europa Occidental</t>
        </is>
      </c>
      <c r="F64" s="33" t="inlineStr">
        <is>
          <t>Netherlands</t>
        </is>
      </c>
      <c r="G64" s="33" t="n">
        <v>2016</v>
      </c>
      <c r="H64" s="33" t="inlineStr">
        <is>
          <t>Sí con daños</t>
        </is>
      </c>
      <c r="I64" s="33" t="inlineStr">
        <is>
          <t>Sí</t>
        </is>
      </c>
      <c r="J64" s="33" t="inlineStr"/>
      <c r="K64" s="33" t="inlineStr">
        <is>
          <t>6.90 EUR (7.40 USD)</t>
        </is>
      </c>
      <c r="L64" s="33" t="inlineStr">
        <is>
          <t>6.80 EUR (7.30 USD)</t>
        </is>
      </c>
      <c r="M64" s="33" t="inlineStr">
        <is>
          <t>Tertiary - D - Electricity, gas, steam and air conditioning supply</t>
        </is>
      </c>
      <c r="N64" s="33" t="inlineStr"/>
      <c r="O64" s="33" t="inlineStr">
        <is>
          <t>The Energy Charter Treaty (1994)</t>
        </is>
      </c>
      <c r="P64" s="33" t="inlineStr"/>
      <c r="Q64" s="33" t="inlineStr">
        <is>
          <t>Fathallah, R. - President; Dolzer, R. - Claimant (replaced); Tanzi, A. M. - Respondent; Cameron, P. D. - Claimant</t>
        </is>
      </c>
      <c r="R64" s="33" t="inlineStr">
        <is>
          <t>ICSID annulment proceedings</t>
        </is>
      </c>
      <c r="S64" s="33" t="inlineStr">
        <is>
          <t>Pending ICSID annulment proceedings</t>
        </is>
      </c>
      <c r="T64" s="33" t="inlineStr">
        <is>
          <t>Inglés</t>
        </is>
      </c>
      <c r="U64" s="33" t="inlineStr">
        <is>
          <t>https://www.italaw.com/cases/9083</t>
        </is>
      </c>
      <c r="V64" s="33" t="inlineStr">
        <is>
          <t>Sí</t>
        </is>
      </c>
    </row>
    <row r="65">
      <c r="A65" s="33" t="n">
        <v>64</v>
      </c>
      <c r="B65" s="33" t="inlineStr">
        <is>
          <t>Dominion Minerals v. Panama</t>
        </is>
      </c>
      <c r="C65" s="33" t="inlineStr">
        <is>
          <t>Dominion Minerals Corp. v. Republic of Panama (ICSID Case No. ARB/16/13)</t>
        </is>
      </c>
      <c r="D65" s="33" t="inlineStr">
        <is>
          <t>Panama</t>
        </is>
      </c>
      <c r="E65" s="33" t="inlineStr">
        <is>
          <t>América Central/Caribe</t>
        </is>
      </c>
      <c r="F65" s="33" t="inlineStr">
        <is>
          <t>United States of America</t>
        </is>
      </c>
      <c r="G65" s="33" t="n">
        <v>2016</v>
      </c>
      <c r="H65" s="33" t="inlineStr">
        <is>
          <t>Sí con daños</t>
        </is>
      </c>
      <c r="I65" s="33" t="inlineStr">
        <is>
          <t>Sí</t>
        </is>
      </c>
      <c r="J65" s="33" t="inlineStr">
        <is>
          <t>TJE - Trato Justo y Equitativo | Expropiación | Protección y Seguridad Plenas | Libre Transferencia | NMF - Nación Más Favorecida | Trato Nacional</t>
        </is>
      </c>
      <c r="K65" s="33" t="inlineStr">
        <is>
          <t>684.00 USD</t>
        </is>
      </c>
      <c r="L65" s="33" t="inlineStr">
        <is>
          <t>15.90 USD</t>
        </is>
      </c>
      <c r="M65" s="33" t="inlineStr">
        <is>
          <t>Primary - B - Mining and quarrying</t>
        </is>
      </c>
      <c r="N65" s="33" t="inlineStr">
        <is>
          <t>Nacionalización</t>
        </is>
      </c>
      <c r="O65" s="33" t="inlineStr">
        <is>
          <t>Panama - United States of America BIT (1982)</t>
        </is>
      </c>
      <c r="P65" s="33" t="inlineStr"/>
      <c r="Q65" s="33" t="inlineStr">
        <is>
          <t>Poncet, C. - Claimant; Mourre, A. - Respondent; Bullard, A. - President</t>
        </is>
      </c>
      <c r="R65" s="33" t="inlineStr">
        <is>
          <t>ICSID annulment proceedings</t>
        </is>
      </c>
      <c r="S65" s="33" t="inlineStr">
        <is>
          <t>Pending ICSID annulment proceedings</t>
        </is>
      </c>
      <c r="T65" s="33" t="inlineStr">
        <is>
          <t>Indeterminado</t>
        </is>
      </c>
      <c r="U65" s="33" t="inlineStr">
        <is>
          <t>http://www.italaw.com/cases/3972</t>
        </is>
      </c>
      <c r="V65" s="33" t="inlineStr">
        <is>
          <t>Sí</t>
        </is>
      </c>
    </row>
    <row r="66">
      <c r="A66" s="32" t="n">
        <v>65</v>
      </c>
      <c r="B66" s="32" t="inlineStr">
        <is>
          <t>EBO Invest and others v. Latvia</t>
        </is>
      </c>
      <c r="C66" s="32" t="inlineStr">
        <is>
          <t>EBO Invest AS, Rox Holding AS and Staur Eiendom AS v. Republic of Latvia (ICSID Case No. ARB/16/38)</t>
        </is>
      </c>
      <c r="D66" s="32" t="inlineStr">
        <is>
          <t>Latvia</t>
        </is>
      </c>
      <c r="E66" s="32" t="inlineStr">
        <is>
          <t>Europa Occidental</t>
        </is>
      </c>
      <c r="F66" s="32" t="inlineStr">
        <is>
          <t>Norway</t>
        </is>
      </c>
      <c r="G66" s="32" t="n">
        <v>2016</v>
      </c>
      <c r="H66" s="32" t="inlineStr">
        <is>
          <t>No - ganó el Estado</t>
        </is>
      </c>
      <c r="I66" s="32" t="inlineStr">
        <is>
          <t>No</t>
        </is>
      </c>
      <c r="J66" s="32" t="inlineStr">
        <is>
          <t>Expropiación | Cláusula Paraguas</t>
        </is>
      </c>
      <c r="K66" s="32" t="inlineStr">
        <is>
          <t>41.90 EUR (45.90 USD)</t>
        </is>
      </c>
      <c r="L66" s="32" t="inlineStr"/>
      <c r="M66" s="32" t="inlineStr">
        <is>
          <t>Tertiary - F - Construction</t>
        </is>
      </c>
      <c r="N66" s="32" t="inlineStr"/>
      <c r="O66" s="32" t="inlineStr">
        <is>
          <t>Latvia - Norway BIT (1992)</t>
        </is>
      </c>
      <c r="P66" s="32" t="inlineStr">
        <is>
          <t>100% (wholly owned)</t>
        </is>
      </c>
      <c r="Q66" s="32" t="inlineStr">
        <is>
          <t>Schwartz, E. - President; Hobér, K. - Claimant; Landau, T. - Respondent</t>
        </is>
      </c>
      <c r="R66" s="32" t="inlineStr"/>
      <c r="S66" s="32" t="inlineStr"/>
      <c r="T66" s="32" t="inlineStr">
        <is>
          <t>Inglés</t>
        </is>
      </c>
      <c r="U66" s="32" t="inlineStr">
        <is>
          <t>https://www.italaw.com/cases/8031</t>
        </is>
      </c>
      <c r="V66" s="32" t="inlineStr">
        <is>
          <t>Sí</t>
        </is>
      </c>
    </row>
    <row r="67">
      <c r="A67" s="33" t="n">
        <v>66</v>
      </c>
      <c r="B67" s="33" t="inlineStr">
        <is>
          <t>ESPF and others v. Italy</t>
        </is>
      </c>
      <c r="C67" s="33" t="inlineStr">
        <is>
          <t>ESPF Beteiligungs GmbH, ESPF Nr. 2 Austria Beteiligungs GmbH, and InfraClass Energie 5 GmbH &amp; Co. KG v. Italian Republic (ICSID Case No. ARB/16/5)</t>
        </is>
      </c>
      <c r="D67" s="33" t="inlineStr">
        <is>
          <t>Italy</t>
        </is>
      </c>
      <c r="E67" s="33" t="inlineStr">
        <is>
          <t>Europa Occidental</t>
        </is>
      </c>
      <c r="F67" s="33" t="inlineStr">
        <is>
          <t>Austria;
Germany</t>
        </is>
      </c>
      <c r="G67" s="33" t="n">
        <v>2016</v>
      </c>
      <c r="H67" s="33" t="inlineStr">
        <is>
          <t>Sí con daños</t>
        </is>
      </c>
      <c r="I67" s="33" t="inlineStr">
        <is>
          <t>Sí</t>
        </is>
      </c>
      <c r="J67" s="33" t="inlineStr">
        <is>
          <t>TJE - Trato Justo y Equitativo | Cláusula Paraguas</t>
        </is>
      </c>
      <c r="K67" s="33" t="inlineStr">
        <is>
          <t>28.60 EUR (33.90 USD)</t>
        </is>
      </c>
      <c r="L67" s="33" t="inlineStr">
        <is>
          <t>16.00 EUR (19.00 USD)</t>
        </is>
      </c>
      <c r="M67" s="33" t="inlineStr">
        <is>
          <t>Tertiary - D - Electricity, gas, steam and air conditioning supply</t>
        </is>
      </c>
      <c r="N67" s="33" t="inlineStr">
        <is>
          <t>Cambio regulatorio | Medida fiscal/impositiva | Reducción/renegociación de tarifas</t>
        </is>
      </c>
      <c r="O67" s="33" t="inlineStr">
        <is>
          <t>The Energy Charter Treaty (1994)</t>
        </is>
      </c>
      <c r="P67" s="33" t="inlineStr"/>
      <c r="Q67" s="33" t="inlineStr">
        <is>
          <t>Álvarez, H. C. - President; Pryles, M. C. - Claimant; Boisson de Chazournes, L. - Respondent</t>
        </is>
      </c>
      <c r="R67" s="33" t="inlineStr">
        <is>
          <t>ICSID annulment proceedings</t>
        </is>
      </c>
      <c r="S67" s="33" t="inlineStr">
        <is>
          <t>Award/decision upheld ICSID annulment proceedings</t>
        </is>
      </c>
      <c r="T67" s="33" t="inlineStr">
        <is>
          <t>Inglés</t>
        </is>
      </c>
      <c r="U67" s="33" t="inlineStr">
        <is>
          <t>https://www.italaw.com/cases/8445</t>
        </is>
      </c>
      <c r="V67" s="33" t="inlineStr">
        <is>
          <t>Sí</t>
        </is>
      </c>
    </row>
    <row r="68">
      <c r="A68" s="33" t="n">
        <v>67</v>
      </c>
      <c r="B68" s="33" t="inlineStr">
        <is>
          <t>Eurus Energy v. Spain</t>
        </is>
      </c>
      <c r="C68" s="33" t="inlineStr">
        <is>
          <t>Eurus Energy Holdings Corporation v. Kingdom of Spain (ICSID Case No. ARB/16/4)</t>
        </is>
      </c>
      <c r="D68" s="33" t="inlineStr">
        <is>
          <t>Spain</t>
        </is>
      </c>
      <c r="E68" s="33" t="inlineStr">
        <is>
          <t>Europa Occidental</t>
        </is>
      </c>
      <c r="F68" s="33" t="inlineStr">
        <is>
          <t>Japan</t>
        </is>
      </c>
      <c r="G68" s="33" t="n">
        <v>2016</v>
      </c>
      <c r="H68" s="33" t="inlineStr">
        <is>
          <t>Sí con daños</t>
        </is>
      </c>
      <c r="I68" s="33" t="inlineStr">
        <is>
          <t>Sí</t>
        </is>
      </c>
      <c r="J68" s="33" t="inlineStr">
        <is>
          <t>TJE - Trato Justo y Equitativo | Expropiación</t>
        </is>
      </c>
      <c r="K68" s="33" t="inlineStr">
        <is>
          <t>173.00 EUR (206.20 USD)</t>
        </is>
      </c>
      <c r="L68" s="33" t="inlineStr">
        <is>
          <t>106.20 EUR (109.90 USD)</t>
        </is>
      </c>
      <c r="M68" s="33" t="inlineStr">
        <is>
          <t>Tertiary - D - Electricity, gas, steam and air conditioning supply</t>
        </is>
      </c>
      <c r="N68" s="33" t="inlineStr"/>
      <c r="O68" s="33" t="inlineStr">
        <is>
          <t>The Energy Charter Treaty (1994)</t>
        </is>
      </c>
      <c r="P68" s="33" t="inlineStr"/>
      <c r="Q68" s="33" t="inlineStr">
        <is>
          <t>Crawford, J. R. - President (replaced); Garibaldi, O. M. - Claimant; Giardina, A. - Respondent; Hoffmann, A. - President</t>
        </is>
      </c>
      <c r="R68" s="33" t="inlineStr">
        <is>
          <t>ICSID annulment proceedings</t>
        </is>
      </c>
      <c r="S68" s="33" t="inlineStr">
        <is>
          <t>Pending ICSID annulment proceedings</t>
        </is>
      </c>
      <c r="T68" s="33" t="inlineStr">
        <is>
          <t>Inglés</t>
        </is>
      </c>
      <c r="U68" s="33" t="inlineStr">
        <is>
          <t>https://www.italaw.com/cases/8648</t>
        </is>
      </c>
      <c r="V68" s="33" t="inlineStr">
        <is>
          <t>Sí</t>
        </is>
      </c>
    </row>
    <row r="69">
      <c r="A69" s="32" t="n">
        <v>68</v>
      </c>
      <c r="B69" s="32" t="inlineStr">
        <is>
          <t>Eyre and Montrose Developments v. Sri Lanka</t>
        </is>
      </c>
      <c r="C69" s="32" t="inlineStr">
        <is>
          <t>Raymond Charles Eyre and Montrose Developments (Private) Limited v. Democratic Socialist Republic of Sri Lanka (ICSID Case No. ARB/16/25)</t>
        </is>
      </c>
      <c r="D69" s="32" t="inlineStr">
        <is>
          <t>Sri Lanka</t>
        </is>
      </c>
      <c r="E69" s="32" t="inlineStr">
        <is>
          <t>Asia Sur-Este/Pacífico</t>
        </is>
      </c>
      <c r="F69" s="32" t="inlineStr">
        <is>
          <t>United Kingdom</t>
        </is>
      </c>
      <c r="G69" s="32" t="n">
        <v>2016</v>
      </c>
      <c r="H69" s="32" t="inlineStr">
        <is>
          <t>No - ganó el Estado</t>
        </is>
      </c>
      <c r="I69" s="32" t="inlineStr">
        <is>
          <t>No</t>
        </is>
      </c>
      <c r="J69" s="32" t="inlineStr">
        <is>
          <t>TJE - Trato Justo y Equitativo | Expropiación</t>
        </is>
      </c>
      <c r="K69" s="32" t="inlineStr">
        <is>
          <t>2749.70 LKR (20.70 USD)</t>
        </is>
      </c>
      <c r="L69" s="32" t="inlineStr"/>
      <c r="M69" s="32" t="inlineStr">
        <is>
          <t>Tertiary - L - Real estate activities</t>
        </is>
      </c>
      <c r="N69" s="32" t="inlineStr"/>
      <c r="O69" s="32" t="inlineStr">
        <is>
          <t>Sri Lanka - United Kingdom BIT (1980)</t>
        </is>
      </c>
      <c r="P69" s="32" t="inlineStr"/>
      <c r="Q69" s="32" t="inlineStr">
        <is>
          <t>Reed, L. - President; Lew, J. D. M. - Claimant; Stern, B. - Respondent</t>
        </is>
      </c>
      <c r="R69" s="32" t="inlineStr">
        <is>
          <t>ICSID annulment proceedings</t>
        </is>
      </c>
      <c r="S69" s="32" t="inlineStr">
        <is>
          <t>Award/decision upheld ICSID annulment proceedings</t>
        </is>
      </c>
      <c r="T69" s="32" t="inlineStr">
        <is>
          <t>Inglés</t>
        </is>
      </c>
      <c r="U69" s="32" t="inlineStr">
        <is>
          <t>https://www.italaw.com/cases/5910</t>
        </is>
      </c>
      <c r="V69" s="32" t="inlineStr">
        <is>
          <t>Sí</t>
        </is>
      </c>
    </row>
    <row r="70">
      <c r="A70" s="33" t="n">
        <v>69</v>
      </c>
      <c r="B70" s="33" t="inlineStr">
        <is>
          <t>Glencore International and C.I. Prodeco v. Colombia (I)</t>
        </is>
      </c>
      <c r="C70" s="33" t="inlineStr">
        <is>
          <t>Glencore and Prodeco v. Republic of Colombia (I) (ICSID Case No. ARB/16/6)</t>
        </is>
      </c>
      <c r="D70" s="33" t="inlineStr">
        <is>
          <t>Colombia</t>
        </is>
      </c>
      <c r="E70" s="33" t="inlineStr">
        <is>
          <t>América del Sur</t>
        </is>
      </c>
      <c r="F70" s="33" t="inlineStr">
        <is>
          <t>Switzerland</t>
        </is>
      </c>
      <c r="G70" s="33" t="n">
        <v>2016</v>
      </c>
      <c r="H70" s="33" t="inlineStr">
        <is>
          <t>Sí con daños</t>
        </is>
      </c>
      <c r="I70" s="33" t="inlineStr">
        <is>
          <t>Sí</t>
        </is>
      </c>
      <c r="J70" s="33" t="inlineStr">
        <is>
          <t>TJE - Trato Justo y Equitativo | Cláusula Paraguas</t>
        </is>
      </c>
      <c r="K70" s="33" t="inlineStr">
        <is>
          <t>593.80 USD</t>
        </is>
      </c>
      <c r="L70" s="33" t="inlineStr">
        <is>
          <t>19.10 USD</t>
        </is>
      </c>
      <c r="M70" s="33" t="inlineStr">
        <is>
          <t>Primary - B - Mining and quarrying</t>
        </is>
      </c>
      <c r="N70" s="33" t="inlineStr"/>
      <c r="O70" s="33" t="inlineStr">
        <is>
          <t>Colombia - Switzerland BIT (2006)</t>
        </is>
      </c>
      <c r="P70" s="33" t="inlineStr"/>
      <c r="Q70" s="33" t="inlineStr">
        <is>
          <t>Fernández-Armesto, J. - President; Garibaldi, O. M. - Claimant; Thomas, J. C. - Respondent</t>
        </is>
      </c>
      <c r="R70" s="33" t="inlineStr">
        <is>
          <t>ICSID annulment proceedings</t>
        </is>
      </c>
      <c r="S70" s="33" t="inlineStr">
        <is>
          <t>Award/decision upheld ICSID annulment proceedings</t>
        </is>
      </c>
      <c r="T70" s="33" t="inlineStr">
        <is>
          <t>Inglés</t>
        </is>
      </c>
      <c r="U70" s="33" t="inlineStr">
        <is>
          <t>https://www.italaw.com/cases/7539</t>
        </is>
      </c>
      <c r="V70" s="33" t="inlineStr">
        <is>
          <t>Sí</t>
        </is>
      </c>
    </row>
    <row r="71">
      <c r="A71" s="32" t="n">
        <v>70</v>
      </c>
      <c r="B71" s="32" t="inlineStr">
        <is>
          <t>Global Telecom Holding v. Canada</t>
        </is>
      </c>
      <c r="C71" s="32" t="inlineStr">
        <is>
          <t>Global Telecom Holding S.A.E. v. Canada (ICSID Case No. ARB/16/16)</t>
        </is>
      </c>
      <c r="D71" s="32" t="inlineStr">
        <is>
          <t>Canada</t>
        </is>
      </c>
      <c r="E71" s="32" t="inlineStr">
        <is>
          <t>América del Norte</t>
        </is>
      </c>
      <c r="F71" s="32" t="inlineStr">
        <is>
          <t>Egypt</t>
        </is>
      </c>
      <c r="G71" s="32" t="n">
        <v>2016</v>
      </c>
      <c r="H71" s="32" t="inlineStr">
        <is>
          <t>No - ganó el Estado</t>
        </is>
      </c>
      <c r="I71" s="32" t="inlineStr">
        <is>
          <t>No</t>
        </is>
      </c>
      <c r="J71" s="32" t="inlineStr">
        <is>
          <t>TJE - Trato Justo y Equitativo | Protección y Seguridad Plenas | Trato Nacional</t>
        </is>
      </c>
      <c r="K71" s="32" t="inlineStr">
        <is>
          <t>1320.00 CAD (1014.00 USD)</t>
        </is>
      </c>
      <c r="L71" s="32" t="inlineStr"/>
      <c r="M71" s="32" t="inlineStr">
        <is>
          <t>Tertiary - J - Information and communication</t>
        </is>
      </c>
      <c r="N71" s="32" t="inlineStr"/>
      <c r="O71" s="32" t="inlineStr">
        <is>
          <t>Canada - Egypt BIT (1996)</t>
        </is>
      </c>
      <c r="P71" s="32" t="inlineStr"/>
      <c r="Q71" s="32" t="inlineStr">
        <is>
          <t>Affaki, G. - President; Born, G. B. - Claimant; Lowe, V. - Respondent</t>
        </is>
      </c>
      <c r="R71" s="32" t="inlineStr">
        <is>
          <t>ICSID annulment proceedings</t>
        </is>
      </c>
      <c r="S71" s="32" t="inlineStr">
        <is>
          <t>Award/decision upheld ICSID annulment proceedings</t>
        </is>
      </c>
      <c r="T71" s="32" t="inlineStr">
        <is>
          <t>Inglés</t>
        </is>
      </c>
      <c r="U71" s="32" t="inlineStr">
        <is>
          <t>https://www.italaw.com/cases/4695</t>
        </is>
      </c>
      <c r="V71" s="32" t="inlineStr">
        <is>
          <t>Sí</t>
        </is>
      </c>
    </row>
    <row r="72">
      <c r="A72" s="31" t="n">
        <v>71</v>
      </c>
      <c r="B72" s="31" t="inlineStr">
        <is>
          <t>Goljevšček and others v. Bosnia and Herzegovina</t>
        </is>
      </c>
      <c r="C72" s="31" t="inlineStr">
        <is>
          <t>Boris Goljevšček, Viaduct d.o.o. Portorož and Vladimir Zevnik v. Bosnia and Herzegovina (ICSID Case No. ARB/16/36)</t>
        </is>
      </c>
      <c r="D72" s="31" t="inlineStr">
        <is>
          <t>Bosnia and Herzegovina</t>
        </is>
      </c>
      <c r="E72" s="31" t="inlineStr">
        <is>
          <t>Europa Occidental</t>
        </is>
      </c>
      <c r="F72" s="31" t="inlineStr">
        <is>
          <t>Slovenia</t>
        </is>
      </c>
      <c r="G72" s="31" t="n">
        <v>2016</v>
      </c>
      <c r="H72" s="31" t="inlineStr">
        <is>
          <t>Sí con daños</t>
        </is>
      </c>
      <c r="I72" s="31" t="inlineStr">
        <is>
          <t>Sí</t>
        </is>
      </c>
      <c r="J72" s="31" t="inlineStr"/>
      <c r="K72" s="31" t="inlineStr">
        <is>
          <t>51.00 EUR (54.90 USD)</t>
        </is>
      </c>
      <c r="L72" s="31" t="inlineStr">
        <is>
          <t>45.00 EUR (48.60 USD)</t>
        </is>
      </c>
      <c r="M72" s="31" t="inlineStr">
        <is>
          <t>Tertiary - D - Electricity, gas, steam and air conditioning supply</t>
        </is>
      </c>
      <c r="N72" s="31" t="inlineStr"/>
      <c r="O72" s="31" t="inlineStr">
        <is>
          <t>The Energy Charter Treaty (1994);
Bosnia and Herzegovina - Slovenia BIT (2001)</t>
        </is>
      </c>
      <c r="P72" s="31" t="inlineStr"/>
      <c r="Q72" s="31" t="inlineStr">
        <is>
          <t>Park, W. W. - President; Laird, I. A. - Claimant; Grigera Naón, H. A. - Respondent</t>
        </is>
      </c>
      <c r="R72" s="31" t="inlineStr">
        <is>
          <t>ICSID annulment proceedings</t>
        </is>
      </c>
      <c r="S72" s="31" t="inlineStr">
        <is>
          <t>Pending ICSID annulment proceedings</t>
        </is>
      </c>
      <c r="T72" s="31" t="inlineStr"/>
      <c r="U72" s="31" t="inlineStr">
        <is>
          <t>http://www.italaw.com/cases/4587</t>
        </is>
      </c>
      <c r="V72" s="31" t="inlineStr">
        <is>
          <t>Pendiente</t>
        </is>
      </c>
    </row>
    <row r="73">
      <c r="A73" s="32" t="n">
        <v>72</v>
      </c>
      <c r="B73" s="32" t="inlineStr">
        <is>
          <t>Gosling and others v. Mauritius</t>
        </is>
      </c>
      <c r="C73" s="32" t="inlineStr">
        <is>
          <t>Thomas Gosling, Property Partnerships Development Managers (UK), Property Partnerships Developments (Mauritius) Ltd, Property Partnerships Holdings (Mauritius) Ltd and TG Investments Ltd v. Republic of Mauritius (ICSID Case No. ARB/16/32)</t>
        </is>
      </c>
      <c r="D73" s="32" t="inlineStr">
        <is>
          <t>Mauritius</t>
        </is>
      </c>
      <c r="E73" s="32" t="inlineStr">
        <is>
          <t>Sin clasificar</t>
        </is>
      </c>
      <c r="F73" s="32" t="inlineStr">
        <is>
          <t>United Kingdom</t>
        </is>
      </c>
      <c r="G73" s="32" t="n">
        <v>2016</v>
      </c>
      <c r="H73" s="32" t="inlineStr">
        <is>
          <t>No - ganó el Estado</t>
        </is>
      </c>
      <c r="I73" s="32" t="inlineStr">
        <is>
          <t>No</t>
        </is>
      </c>
      <c r="J73" s="32" t="inlineStr">
        <is>
          <t>TJE - Trato Justo y Equitativo | Expropiación</t>
        </is>
      </c>
      <c r="K73" s="32" t="inlineStr">
        <is>
          <t>23.70 EUR (25.70 USD)</t>
        </is>
      </c>
      <c r="L73" s="32" t="inlineStr"/>
      <c r="M73" s="32" t="inlineStr">
        <is>
          <t>Tertiary - L - Real estate activities</t>
        </is>
      </c>
      <c r="N73" s="32" t="inlineStr"/>
      <c r="O73" s="32" t="inlineStr">
        <is>
          <t>Mauritius - United Kingdom BIT (1986)</t>
        </is>
      </c>
      <c r="P73" s="32" t="inlineStr">
        <is>
          <t>006 Share</t>
        </is>
      </c>
      <c r="Q73" s="32" t="inlineStr">
        <is>
          <t>Alexandrov, S. A. - Claimant; Stern, B. - Respondent; Rigo Sureda, A. - President</t>
        </is>
      </c>
      <c r="R73" s="32" t="inlineStr"/>
      <c r="S73" s="32" t="inlineStr"/>
      <c r="T73" s="32" t="inlineStr">
        <is>
          <t>Indeterminado</t>
        </is>
      </c>
      <c r="U73" s="32" t="inlineStr">
        <is>
          <t>https://www.italaw.com/cases/8062</t>
        </is>
      </c>
      <c r="V73" s="32" t="inlineStr">
        <is>
          <t>Sí</t>
        </is>
      </c>
    </row>
    <row r="74">
      <c r="A74" s="33" t="n">
        <v>73</v>
      </c>
      <c r="B74" s="33" t="inlineStr">
        <is>
          <t>Grot and others v. Moldova</t>
        </is>
      </c>
      <c r="C74" s="33" t="inlineStr">
        <is>
          <t>Zbigniew Piotr Grot, Grot Cimarron LLC, I.C.S. Laguardia SRL and Laguardia USA LLC v. Republic of Moldova (ICSID Case No. ARB/16/8)</t>
        </is>
      </c>
      <c r="D74" s="33" t="inlineStr">
        <is>
          <t>Moldova, Republic of</t>
        </is>
      </c>
      <c r="E74" s="33" t="inlineStr">
        <is>
          <t>Sin clasificar</t>
        </is>
      </c>
      <c r="F74" s="33" t="inlineStr">
        <is>
          <t>United States of America;
Poland</t>
        </is>
      </c>
      <c r="G74" s="33" t="n">
        <v>2016</v>
      </c>
      <c r="H74" s="33" t="inlineStr">
        <is>
          <t>Sí con daños</t>
        </is>
      </c>
      <c r="I74" s="33" t="inlineStr">
        <is>
          <t>Sí</t>
        </is>
      </c>
      <c r="J74" s="33" t="inlineStr">
        <is>
          <t>TJE - Trato Justo y Equitativo | Expropiación | Protección y Seguridad Plenas | NMF - Nación Más Favorecida | Trato Nacional</t>
        </is>
      </c>
      <c r="K74" s="33" t="inlineStr">
        <is>
          <t>15.00 USD</t>
        </is>
      </c>
      <c r="L74" s="33" t="inlineStr">
        <is>
          <t>0.40 USD</t>
        </is>
      </c>
      <c r="M74" s="33" t="inlineStr">
        <is>
          <t>Primary - A - Agriculture, forestry and fishing</t>
        </is>
      </c>
      <c r="N74" s="33" t="inlineStr">
        <is>
          <t>Cambio regulatorio | Nacionalización</t>
        </is>
      </c>
      <c r="O74" s="33" t="inlineStr">
        <is>
          <t>Moldova, Republic of - United States of America BIT (1993)</t>
        </is>
      </c>
      <c r="P74" s="33" t="inlineStr"/>
      <c r="Q74" s="33" t="inlineStr">
        <is>
          <t>Sands, P. - President; Fortier, L. Y. - Claimant; Knieper, R. - Respondent</t>
        </is>
      </c>
      <c r="R74" s="33" t="inlineStr"/>
      <c r="S74" s="33" t="inlineStr"/>
      <c r="T74" s="33" t="inlineStr">
        <is>
          <t>Indeterminado</t>
        </is>
      </c>
      <c r="U74" s="33" t="inlineStr">
        <is>
          <t>https://www.italaw.com/cases/6388</t>
        </is>
      </c>
      <c r="V74" s="33" t="inlineStr">
        <is>
          <t>Sí</t>
        </is>
      </c>
    </row>
    <row r="75">
      <c r="A75" s="33" t="n">
        <v>74</v>
      </c>
      <c r="B75" s="33" t="inlineStr">
        <is>
          <t>Infracapital v. Spain</t>
        </is>
      </c>
      <c r="C75" s="33" t="inlineStr">
        <is>
          <t>Infracapital F1 S.à r.l. and Infracapital Solar B.V. v. Kingdom of Spain (ICSID Case No. ARB/16/18)</t>
        </is>
      </c>
      <c r="D75" s="33" t="inlineStr">
        <is>
          <t>Spain</t>
        </is>
      </c>
      <c r="E75" s="33" t="inlineStr">
        <is>
          <t>Europa Occidental</t>
        </is>
      </c>
      <c r="F75" s="33" t="inlineStr">
        <is>
          <t>Luxembourg;
Netherlands</t>
        </is>
      </c>
      <c r="G75" s="33" t="n">
        <v>2016</v>
      </c>
      <c r="H75" s="33" t="inlineStr">
        <is>
          <t>Sí con daños</t>
        </is>
      </c>
      <c r="I75" s="33" t="inlineStr">
        <is>
          <t>Sí</t>
        </is>
      </c>
      <c r="J75" s="33" t="inlineStr">
        <is>
          <t>TJE - Trato Justo y Equitativo</t>
        </is>
      </c>
      <c r="K75" s="33" t="inlineStr">
        <is>
          <t>50.70 EUR (55.70 USD)</t>
        </is>
      </c>
      <c r="L75" s="33" t="inlineStr">
        <is>
          <t>24.90 EUR (27.40 USD)</t>
        </is>
      </c>
      <c r="M75" s="33" t="inlineStr">
        <is>
          <t>Tertiary - D - Electricity, gas, steam and air conditioning supply</t>
        </is>
      </c>
      <c r="N75" s="33" t="inlineStr">
        <is>
          <t>Medida fiscal/impositiva</t>
        </is>
      </c>
      <c r="O75" s="33" t="inlineStr">
        <is>
          <t>The Energy Charter Treaty (1994)</t>
        </is>
      </c>
      <c r="P75" s="33" t="inlineStr"/>
      <c r="Q75" s="33" t="inlineStr">
        <is>
          <t>Nunes Pinto, J. E. - President (replaced); Cameron, P. D. - Claimant; González García, L. - Respondent; Siqueiros, E. - President</t>
        </is>
      </c>
      <c r="R75" s="33" t="inlineStr">
        <is>
          <t>ICSID annulment proceedings</t>
        </is>
      </c>
      <c r="S75" s="33" t="inlineStr">
        <is>
          <t>Pending ICSID annulment proceedings</t>
        </is>
      </c>
      <c r="T75" s="33" t="inlineStr">
        <is>
          <t>Inglés</t>
        </is>
      </c>
      <c r="U75" s="33" t="inlineStr">
        <is>
          <t>https://www.italaw.com/cases/9078</t>
        </is>
      </c>
      <c r="V75" s="33" t="inlineStr">
        <is>
          <t>Sí</t>
        </is>
      </c>
    </row>
    <row r="76">
      <c r="A76" s="32" t="n">
        <v>75</v>
      </c>
      <c r="B76" s="32" t="inlineStr">
        <is>
          <t>Italba v. Uruguay</t>
        </is>
      </c>
      <c r="C76" s="32" t="inlineStr">
        <is>
          <t>Italba Corporation v. Oriental Republic of Uruguay (ICSID Case No. ARB/16/9)</t>
        </is>
      </c>
      <c r="D76" s="32" t="inlineStr">
        <is>
          <t>Uruguay</t>
        </is>
      </c>
      <c r="E76" s="32" t="inlineStr">
        <is>
          <t>América del Sur</t>
        </is>
      </c>
      <c r="F76" s="32" t="inlineStr">
        <is>
          <t>United States of America</t>
        </is>
      </c>
      <c r="G76" s="32" t="n">
        <v>2016</v>
      </c>
      <c r="H76" s="32" t="inlineStr">
        <is>
          <t>No - ganó el Estado</t>
        </is>
      </c>
      <c r="I76" s="32" t="inlineStr">
        <is>
          <t>No</t>
        </is>
      </c>
      <c r="J76" s="32" t="inlineStr">
        <is>
          <t>Expropiación | Protección y Seguridad Plenas</t>
        </is>
      </c>
      <c r="K76" s="32" t="inlineStr">
        <is>
          <t>61.10 USD</t>
        </is>
      </c>
      <c r="L76" s="32" t="inlineStr"/>
      <c r="M76" s="32" t="inlineStr">
        <is>
          <t>Tertiary - J - Information and communication</t>
        </is>
      </c>
      <c r="N76" s="32" t="inlineStr"/>
      <c r="O76" s="32" t="inlineStr">
        <is>
          <t>United States of America - Uruguay BIT (2005)</t>
        </is>
      </c>
      <c r="P76" s="32" t="inlineStr"/>
      <c r="Q76" s="32" t="inlineStr">
        <is>
          <t>Oreamuno Blanco, R. - President; Beechey, J. - Claimant; Douglas, Z. - Respondent</t>
        </is>
      </c>
      <c r="R76" s="32" t="inlineStr">
        <is>
          <t>ICSID annulment proceedings</t>
        </is>
      </c>
      <c r="S76" s="32" t="inlineStr">
        <is>
          <t>Discontinued ICSID annulment proceedings</t>
        </is>
      </c>
      <c r="T76" s="32" t="inlineStr">
        <is>
          <t>Indeterminado</t>
        </is>
      </c>
      <c r="U76" s="32" t="inlineStr">
        <is>
          <t>https://www.italaw.com/cases/5327</t>
        </is>
      </c>
      <c r="V76" s="32" t="inlineStr">
        <is>
          <t>Sí</t>
        </is>
      </c>
    </row>
    <row r="77">
      <c r="A77" s="31" t="n">
        <v>76</v>
      </c>
      <c r="B77" s="31" t="inlineStr">
        <is>
          <t>JSC Tashkent and others v. Kyrgyzstan</t>
        </is>
      </c>
      <c r="C77" s="31" t="inlineStr">
        <is>
          <t>JSC Tashkent Mechanical Plant, JSCB Asaka, JSCB Uzbek Industrial and Construction Bank, and National Bank for Foreign Economic Activity of the Republic of Uzbekistan v. Kyrgyz Republic (ICSID Case No. ARB(AF)/16/4)</t>
        </is>
      </c>
      <c r="D77" s="31" t="inlineStr">
        <is>
          <t>Kyrgyzstan</t>
        </is>
      </c>
      <c r="E77" s="31" t="inlineStr">
        <is>
          <t>Este Europa/Asia Central</t>
        </is>
      </c>
      <c r="F77" s="31" t="inlineStr">
        <is>
          <t>Uzbekistan</t>
        </is>
      </c>
      <c r="G77" s="31" t="n">
        <v>2016</v>
      </c>
      <c r="H77" s="31" t="inlineStr">
        <is>
          <t>Sí con daños</t>
        </is>
      </c>
      <c r="I77" s="31" t="inlineStr">
        <is>
          <t>Sí</t>
        </is>
      </c>
      <c r="J77" s="31" t="inlineStr"/>
      <c r="K77" s="31" t="inlineStr">
        <is>
          <t>47.70 USD</t>
        </is>
      </c>
      <c r="L77" s="31" t="inlineStr">
        <is>
          <t>32.80 USD</t>
        </is>
      </c>
      <c r="M77" s="31" t="inlineStr">
        <is>
          <t>Tertiary - I - Accommodation and food service activities</t>
        </is>
      </c>
      <c r="N77" s="31" t="inlineStr"/>
      <c r="O77" s="31" t="inlineStr">
        <is>
          <t>Kyrgyzstan - Uzbekistan BIT (1996)</t>
        </is>
      </c>
      <c r="P77" s="31" t="inlineStr"/>
      <c r="Q77" s="31" t="inlineStr">
        <is>
          <t>Born, G. B. - Claimant; Douglas, Z. - Respondent; Cremades, B. M. - President</t>
        </is>
      </c>
      <c r="R77" s="31" t="inlineStr">
        <is>
          <t>Judicial review by national courts</t>
        </is>
      </c>
      <c r="S77" s="31" t="inlineStr">
        <is>
          <t>Discontinued Judicial review by national courts</t>
        </is>
      </c>
      <c r="T77" s="31" t="inlineStr"/>
      <c r="U77" s="31" t="inlineStr">
        <is>
          <t>Not available</t>
        </is>
      </c>
      <c r="V77" s="31" t="inlineStr">
        <is>
          <t>Pendiente</t>
        </is>
      </c>
    </row>
    <row r="78">
      <c r="A78" s="31" t="n">
        <v>77</v>
      </c>
      <c r="B78" s="31" t="inlineStr">
        <is>
          <t>Kunsttrans v. Serbia</t>
        </is>
      </c>
      <c r="C78" s="31" t="inlineStr">
        <is>
          <t>Kunsttrans Holding GmbH and Kunsttrans d.o.o. Beograd v. Republic of Serbia (ICSID Case No. ARB/16/10)</t>
        </is>
      </c>
      <c r="D78" s="31" t="inlineStr">
        <is>
          <t>Serbia</t>
        </is>
      </c>
      <c r="E78" s="31" t="inlineStr">
        <is>
          <t>Europa Occidental</t>
        </is>
      </c>
      <c r="F78" s="31" t="inlineStr">
        <is>
          <t>Austria</t>
        </is>
      </c>
      <c r="G78" s="31" t="n">
        <v>2016</v>
      </c>
      <c r="H78" s="31" t="inlineStr">
        <is>
          <t>Sí con daños</t>
        </is>
      </c>
      <c r="I78" s="31" t="inlineStr">
        <is>
          <t>Sí</t>
        </is>
      </c>
      <c r="J78" s="31" t="inlineStr"/>
      <c r="K78" s="31" t="inlineStr">
        <is>
          <t>9.00 EUR (10.30 USD)</t>
        </is>
      </c>
      <c r="L78" s="31" t="inlineStr">
        <is>
          <t>1.70 EUR (1.90 USD)</t>
        </is>
      </c>
      <c r="M78" s="31" t="inlineStr">
        <is>
          <t>Tertiary - H - Transportation and storage</t>
        </is>
      </c>
      <c r="N78" s="31" t="inlineStr"/>
      <c r="O78" s="31" t="inlineStr">
        <is>
          <t>Austria - Serbia BIT (2001)</t>
        </is>
      </c>
      <c r="P78" s="31" t="inlineStr"/>
      <c r="Q78" s="31" t="inlineStr">
        <is>
          <t>Townsend, J. M. - President; Alexandrov, S. A. - Claimant; Landau, T. - Respondent</t>
        </is>
      </c>
      <c r="R78" s="31" t="inlineStr"/>
      <c r="S78" s="31" t="inlineStr"/>
      <c r="T78" s="31" t="inlineStr"/>
      <c r="U78" s="31" t="inlineStr">
        <is>
          <t>Not available</t>
        </is>
      </c>
      <c r="V78" s="31" t="inlineStr">
        <is>
          <t>Pendiente</t>
        </is>
      </c>
    </row>
    <row r="79">
      <c r="A79" s="32" t="n">
        <v>78</v>
      </c>
      <c r="B79" s="32" t="inlineStr">
        <is>
          <t>Omega Engineering and Rivera v. Panama</t>
        </is>
      </c>
      <c r="C79" s="32" t="inlineStr">
        <is>
          <t>Omega Engineering LLC and Oscar Rivera v. Republic of Panama (ICSID Case No. ARB/16/42)</t>
        </is>
      </c>
      <c r="D79" s="32" t="inlineStr">
        <is>
          <t>Panama</t>
        </is>
      </c>
      <c r="E79" s="32" t="inlineStr">
        <is>
          <t>América Central/Caribe</t>
        </is>
      </c>
      <c r="F79" s="32" t="inlineStr">
        <is>
          <t>United States of America</t>
        </is>
      </c>
      <c r="G79" s="32" t="n">
        <v>2016</v>
      </c>
      <c r="H79" s="32" t="inlineStr">
        <is>
          <t>No - ganó el Estado</t>
        </is>
      </c>
      <c r="I79" s="32" t="inlineStr">
        <is>
          <t>No</t>
        </is>
      </c>
      <c r="J79" s="32" t="inlineStr">
        <is>
          <t>TJE - Trato Justo y Equitativo | Expropiación | NMF - Nación Más Favorecida</t>
        </is>
      </c>
      <c r="K79" s="32" t="inlineStr">
        <is>
          <t>100.00 USD</t>
        </is>
      </c>
      <c r="L79" s="32" t="inlineStr"/>
      <c r="M79" s="32" t="inlineStr">
        <is>
          <t>Tertiary - F - Construction</t>
        </is>
      </c>
      <c r="N79" s="32" t="inlineStr"/>
      <c r="O79" s="32" t="inlineStr">
        <is>
          <t>Panama - United States of America BIT (1982);
Panama - United States FTA (2007)</t>
        </is>
      </c>
      <c r="P79" s="32" t="inlineStr"/>
      <c r="Q79" s="32" t="inlineStr">
        <is>
          <t>Grigera Naón, H. A. - Claimant; Shore, L. - President; Douglas, Z. - Respondent</t>
        </is>
      </c>
      <c r="R79" s="32" t="inlineStr"/>
      <c r="S79" s="32" t="inlineStr"/>
      <c r="T79" s="32" t="inlineStr">
        <is>
          <t>Indeterminado</t>
        </is>
      </c>
      <c r="U79" s="32" t="inlineStr">
        <is>
          <t>https://www.italaw.com/cases/6640</t>
        </is>
      </c>
      <c r="V79" s="32" t="inlineStr">
        <is>
          <t>Sí</t>
        </is>
      </c>
    </row>
    <row r="80">
      <c r="A80" s="34" t="n">
        <v>79</v>
      </c>
      <c r="B80" s="34" t="inlineStr">
        <is>
          <t>Safa v. Greece</t>
        </is>
      </c>
      <c r="C80" s="34" t="inlineStr">
        <is>
          <t>Iskandar Safa and Akram Safa v. Hellenic Republic (ICSID Case No. ARB/16/20)</t>
        </is>
      </c>
      <c r="D80" s="34" t="inlineStr">
        <is>
          <t>Greece</t>
        </is>
      </c>
      <c r="E80" s="34" t="inlineStr">
        <is>
          <t>Europa Occidental</t>
        </is>
      </c>
      <c r="F80" s="34" t="inlineStr">
        <is>
          <t>Lebanon</t>
        </is>
      </c>
      <c r="G80" s="34" t="n">
        <v>2016</v>
      </c>
      <c r="H80" s="34" t="inlineStr">
        <is>
          <t>Sí sin daños</t>
        </is>
      </c>
      <c r="I80" s="34" t="inlineStr">
        <is>
          <t>Sí</t>
        </is>
      </c>
      <c r="J80" s="34" t="inlineStr">
        <is>
          <t>TJE - Trato Justo y Equitativo | Expropiación</t>
        </is>
      </c>
      <c r="K80" s="34" t="inlineStr"/>
      <c r="L80" s="34" t="inlineStr"/>
      <c r="M80" s="34" t="inlineStr">
        <is>
          <t>Secondary - C - Manufacturing</t>
        </is>
      </c>
      <c r="N80" s="34" t="inlineStr"/>
      <c r="O80" s="34" t="inlineStr">
        <is>
          <t>Greece - Lebanon BIT (1997)</t>
        </is>
      </c>
      <c r="P80" s="34" t="inlineStr"/>
      <c r="Q80" s="34" t="inlineStr">
        <is>
          <t>Heiskanen, V. - President; Reichert, K. - Claimant; Stern, B. - Respondent</t>
        </is>
      </c>
      <c r="R80" s="34" t="inlineStr">
        <is>
          <t>ICSID annulment proceedings</t>
        </is>
      </c>
      <c r="S80" s="34" t="inlineStr">
        <is>
          <t>Pending ICSID annulment proceedings</t>
        </is>
      </c>
      <c r="T80" s="34" t="inlineStr">
        <is>
          <t>Inglés</t>
        </is>
      </c>
      <c r="U80" s="34" t="inlineStr">
        <is>
          <t>https://www.italaw.com/cases/5408</t>
        </is>
      </c>
      <c r="V80" s="34" t="inlineStr">
        <is>
          <t>Sí</t>
        </is>
      </c>
    </row>
    <row r="81">
      <c r="A81" s="33" t="n">
        <v>80</v>
      </c>
      <c r="B81" s="33" t="inlineStr">
        <is>
          <t>9REN Holding v. Spain</t>
        </is>
      </c>
      <c r="C81" s="33" t="inlineStr">
        <is>
          <t>9REN Holding S.a.r.l v. Kingdom of Spain (ICSID Case No. ARB/15/15)</t>
        </is>
      </c>
      <c r="D81" s="33" t="inlineStr">
        <is>
          <t>Spain</t>
        </is>
      </c>
      <c r="E81" s="33" t="inlineStr">
        <is>
          <t>Europa Occidental</t>
        </is>
      </c>
      <c r="F81" s="33" t="inlineStr">
        <is>
          <t>Luxembourg</t>
        </is>
      </c>
      <c r="G81" s="33" t="n">
        <v>2015</v>
      </c>
      <c r="H81" s="33" t="inlineStr">
        <is>
          <t>Sí con daños</t>
        </is>
      </c>
      <c r="I81" s="33" t="inlineStr">
        <is>
          <t>Sí</t>
        </is>
      </c>
      <c r="J81" s="33" t="inlineStr">
        <is>
          <t>TJE - Trato Justo y Equitativo | Expropiación | Cláusula Paraguas</t>
        </is>
      </c>
      <c r="K81" s="33" t="inlineStr">
        <is>
          <t>52.20 EUR (60.40 USD)</t>
        </is>
      </c>
      <c r="L81" s="33" t="inlineStr">
        <is>
          <t>40.00 EUR (44.40 USD)</t>
        </is>
      </c>
      <c r="M81" s="33" t="inlineStr">
        <is>
          <t>Tertiary - D - Electricity, gas, steam and air conditioning supply</t>
        </is>
      </c>
      <c r="N81" s="33" t="inlineStr">
        <is>
          <t>Cambio regulatorio</t>
        </is>
      </c>
      <c r="O81" s="33" t="inlineStr">
        <is>
          <t>The Energy Charter Treaty (1994)</t>
        </is>
      </c>
      <c r="P81" s="33" t="inlineStr"/>
      <c r="Q81" s="33" t="inlineStr">
        <is>
          <t>Haigh, D. - Claimant; Veeder, V. V. - Respondent; Binnie, I. - President</t>
        </is>
      </c>
      <c r="R81" s="33" t="inlineStr">
        <is>
          <t>ICSID annulment proceedings</t>
        </is>
      </c>
      <c r="S81" s="33" t="inlineStr">
        <is>
          <t>Award/decision upheld ICSID annulment proceedings</t>
        </is>
      </c>
      <c r="T81" s="33" t="inlineStr">
        <is>
          <t>Inglés</t>
        </is>
      </c>
      <c r="U81" s="33" t="inlineStr">
        <is>
          <t>https://www.italaw.com/cases/7374</t>
        </is>
      </c>
      <c r="V81" s="33" t="inlineStr">
        <is>
          <t>Sí</t>
        </is>
      </c>
    </row>
    <row r="82">
      <c r="A82" s="31" t="n">
        <v>81</v>
      </c>
      <c r="B82" s="31" t="inlineStr">
        <is>
          <t>Aktau Petrol v. Kazakhstan</t>
        </is>
      </c>
      <c r="C82" s="31" t="inlineStr">
        <is>
          <t>Aktau Petrol Ticaret A.S. v. Republic of Kazakhstan (ICSID Case No. ARB/15/8)</t>
        </is>
      </c>
      <c r="D82" s="31" t="inlineStr">
        <is>
          <t>Kazakhstan</t>
        </is>
      </c>
      <c r="E82" s="31" t="inlineStr">
        <is>
          <t>Este Europa/Asia Central</t>
        </is>
      </c>
      <c r="F82" s="31" t="inlineStr">
        <is>
          <t>Türkiye</t>
        </is>
      </c>
      <c r="G82" s="31" t="n">
        <v>2015</v>
      </c>
      <c r="H82" s="31" t="inlineStr">
        <is>
          <t>Sí con daños</t>
        </is>
      </c>
      <c r="I82" s="31" t="inlineStr">
        <is>
          <t>Sí</t>
        </is>
      </c>
      <c r="J82" s="31" t="inlineStr"/>
      <c r="K82" s="31" t="inlineStr">
        <is>
          <t>150.00 USD</t>
        </is>
      </c>
      <c r="L82" s="31" t="inlineStr">
        <is>
          <t>22.70 USD</t>
        </is>
      </c>
      <c r="M82" s="31" t="inlineStr">
        <is>
          <t>Tertiary - H - Transportation and storage</t>
        </is>
      </c>
      <c r="N82" s="31" t="inlineStr"/>
      <c r="O82" s="31" t="inlineStr">
        <is>
          <t>Kazakhstan - Turkey BIT (1992);
The Energy Charter Treaty (1994)</t>
        </is>
      </c>
      <c r="P82" s="31" t="inlineStr"/>
      <c r="Q82" s="31" t="inlineStr">
        <is>
          <t>Binnie, I. - President; Hanotiau, B. - Claimant; Bethlehem, D. - Respondent</t>
        </is>
      </c>
      <c r="R82" s="31" t="inlineStr">
        <is>
          <t>ICSID annulment proceedings</t>
        </is>
      </c>
      <c r="S82" s="31" t="inlineStr">
        <is>
          <t>Unknown ICSID annulment proceedings</t>
        </is>
      </c>
      <c r="T82" s="31" t="inlineStr"/>
      <c r="U82" s="31" t="inlineStr">
        <is>
          <t>Not available</t>
        </is>
      </c>
      <c r="V82" s="31" t="inlineStr">
        <is>
          <t>Pendiente</t>
        </is>
      </c>
    </row>
    <row r="83">
      <c r="A83" s="32" t="n">
        <v>82</v>
      </c>
      <c r="B83" s="32" t="inlineStr">
        <is>
          <t>Álvarez y Marín Corporación and others v. Panama</t>
        </is>
      </c>
      <c r="C83" s="32" t="inlineStr">
        <is>
          <t>Álvarez y Marín Corporación S.A., Estudios Tributarios AP S.A., Stichting Administratiekantoor Anbadi, Bartus van Noordenne and Cornelis Willem van Noordenne v. Republic of Panama (ICSID Case No. ARB/15/14)</t>
        </is>
      </c>
      <c r="D83" s="32" t="inlineStr">
        <is>
          <t>Panama</t>
        </is>
      </c>
      <c r="E83" s="32" t="inlineStr">
        <is>
          <t>América Central/Caribe</t>
        </is>
      </c>
      <c r="F83" s="32" t="inlineStr">
        <is>
          <t>Costa Rica;
Netherlands</t>
        </is>
      </c>
      <c r="G83" s="32" t="n">
        <v>2015</v>
      </c>
      <c r="H83" s="32" t="inlineStr">
        <is>
          <t>No - ganó el Estado</t>
        </is>
      </c>
      <c r="I83" s="32" t="inlineStr">
        <is>
          <t>No</t>
        </is>
      </c>
      <c r="J83" s="32" t="inlineStr">
        <is>
          <t>TJE - Trato Justo y Equitativo</t>
        </is>
      </c>
      <c r="K83" s="32" t="inlineStr">
        <is>
          <t>100.00 USD</t>
        </is>
      </c>
      <c r="L83" s="32" t="inlineStr"/>
      <c r="M83" s="32" t="inlineStr">
        <is>
          <t>Tertiary - L - Real estate activities</t>
        </is>
      </c>
      <c r="N83" s="32" t="inlineStr"/>
      <c r="O83" s="32" t="inlineStr">
        <is>
          <t>Netherlands - Panama BIT (2000);
Central America - Panama FTA (2002)</t>
        </is>
      </c>
      <c r="P83" s="32" t="inlineStr"/>
      <c r="Q83" s="32" t="inlineStr">
        <is>
          <t>Fernández-Armesto, J. - President; Grigera Naón, H. A. - Claimant; Álvarez, H. C. - Respondent</t>
        </is>
      </c>
      <c r="R83" s="32" t="inlineStr"/>
      <c r="S83" s="32" t="inlineStr"/>
      <c r="T83" s="32" t="inlineStr">
        <is>
          <t>Indeterminado</t>
        </is>
      </c>
      <c r="U83" s="32" t="inlineStr">
        <is>
          <t>http://www.italaw.com/cases/3989</t>
        </is>
      </c>
      <c r="V83" s="32" t="inlineStr">
        <is>
          <t>Sí</t>
        </is>
      </c>
    </row>
    <row r="84">
      <c r="A84" s="31" t="n">
        <v>83</v>
      </c>
      <c r="B84" s="31" t="inlineStr">
        <is>
          <t>B3 Croatian Courier v. Croatia</t>
        </is>
      </c>
      <c r="C84" s="31" t="inlineStr">
        <is>
          <t>B3 Croatian Courier Coöperatief U.A. v. Republic of Croatia (ICSID Case No. ARB/15/5)</t>
        </is>
      </c>
      <c r="D84" s="31" t="inlineStr">
        <is>
          <t>Croatia</t>
        </is>
      </c>
      <c r="E84" s="31" t="inlineStr">
        <is>
          <t>Europa Occidental</t>
        </is>
      </c>
      <c r="F84" s="31" t="inlineStr">
        <is>
          <t>Netherlands</t>
        </is>
      </c>
      <c r="G84" s="31" t="n">
        <v>2015</v>
      </c>
      <c r="H84" s="31" t="inlineStr">
        <is>
          <t>Sí sin daños</t>
        </is>
      </c>
      <c r="I84" s="31" t="inlineStr">
        <is>
          <t>Sí</t>
        </is>
      </c>
      <c r="J84" s="31" t="inlineStr"/>
      <c r="K84" s="31" t="inlineStr">
        <is>
          <t>53.00 EUR (57.80 USD)</t>
        </is>
      </c>
      <c r="L84" s="31" t="inlineStr">
        <is>
          <t>0.00 USD</t>
        </is>
      </c>
      <c r="M84" s="31" t="inlineStr">
        <is>
          <t>Tertiary - H - Transportation and storage</t>
        </is>
      </c>
      <c r="N84" s="31" t="inlineStr"/>
      <c r="O84" s="31" t="inlineStr">
        <is>
          <t>Croatia - Netherlands BIT (1998)</t>
        </is>
      </c>
      <c r="P84" s="31" t="inlineStr"/>
      <c r="Q84" s="31" t="inlineStr">
        <is>
          <t>Hanotiau, B. - President; Stern, B. - Respondent; Alexandrov, S. A. - Claimant</t>
        </is>
      </c>
      <c r="R84" s="31" t="inlineStr"/>
      <c r="S84" s="31" t="inlineStr"/>
      <c r="T84" s="31" t="inlineStr"/>
      <c r="U84" s="31" t="inlineStr">
        <is>
          <t>Not available</t>
        </is>
      </c>
      <c r="V84" s="31" t="inlineStr">
        <is>
          <t>Pendiente</t>
        </is>
      </c>
    </row>
    <row r="85">
      <c r="A85" s="33" t="n">
        <v>84</v>
      </c>
      <c r="B85" s="33" t="inlineStr">
        <is>
          <t>BayWa r.e. v. Spain</t>
        </is>
      </c>
      <c r="C85" s="33" t="inlineStr">
        <is>
          <t>BayWa r.e. Renewable Energy GmbH and BayWa r.e. Asset Holding GmbH v. Kingdom of Spain (ICSID Case No. ARB/15/16)</t>
        </is>
      </c>
      <c r="D85" s="33" t="inlineStr">
        <is>
          <t>Spain</t>
        </is>
      </c>
      <c r="E85" s="33" t="inlineStr">
        <is>
          <t>Europa Occidental</t>
        </is>
      </c>
      <c r="F85" s="33" t="inlineStr">
        <is>
          <t>Germany</t>
        </is>
      </c>
      <c r="G85" s="33" t="n">
        <v>2015</v>
      </c>
      <c r="H85" s="33" t="inlineStr">
        <is>
          <t>Sí con daños</t>
        </is>
      </c>
      <c r="I85" s="33" t="inlineStr">
        <is>
          <t>Sí</t>
        </is>
      </c>
      <c r="J85" s="33" t="inlineStr">
        <is>
          <t>TJE - Trato Justo y Equitativo | Expropiación</t>
        </is>
      </c>
      <c r="K85" s="33" t="inlineStr">
        <is>
          <t>67.40 EUR (77.90 USD)</t>
        </is>
      </c>
      <c r="L85" s="33" t="inlineStr">
        <is>
          <t>22.00 EUR (26.80 USD)</t>
        </is>
      </c>
      <c r="M85" s="33" t="inlineStr">
        <is>
          <t>Tertiary - D - Electricity, gas, steam and air conditioning supply</t>
        </is>
      </c>
      <c r="N85" s="33" t="inlineStr"/>
      <c r="O85" s="33" t="inlineStr">
        <is>
          <t>The Energy Charter Treaty (1994)</t>
        </is>
      </c>
      <c r="P85" s="33" t="inlineStr"/>
      <c r="Q85" s="33" t="inlineStr">
        <is>
          <t>Malintoppi, L. - Respondent; Grigera Naón, H. A. - Claimant; Crawford, J. R. - President</t>
        </is>
      </c>
      <c r="R85" s="33" t="inlineStr">
        <is>
          <t>ICSID annulment proceedings</t>
        </is>
      </c>
      <c r="S85" s="33" t="inlineStr">
        <is>
          <t>Award/decision upheld ICSID annulment proceedings</t>
        </is>
      </c>
      <c r="T85" s="33" t="inlineStr">
        <is>
          <t>Inglés</t>
        </is>
      </c>
      <c r="U85" s="33" t="inlineStr">
        <is>
          <t>https://www.italaw.com/cases/7698</t>
        </is>
      </c>
      <c r="V85" s="33" t="inlineStr">
        <is>
          <t>Sí</t>
        </is>
      </c>
    </row>
    <row r="86">
      <c r="A86" s="31" t="n">
        <v>85</v>
      </c>
      <c r="B86" s="31" t="inlineStr">
        <is>
          <t>Belegging-Maatschappij “Far East” v. Austria</t>
        </is>
      </c>
      <c r="C86" s="31" t="inlineStr">
        <is>
          <t>B.V. Belegging-Maatschappij “Far East” v. Republic of Austria (ICSID Case No. ARB/15/32)</t>
        </is>
      </c>
      <c r="D86" s="31" t="inlineStr">
        <is>
          <t>Austria</t>
        </is>
      </c>
      <c r="E86" s="31" t="inlineStr">
        <is>
          <t>Europa Occidental</t>
        </is>
      </c>
      <c r="F86" s="31" t="inlineStr">
        <is>
          <t>Malta</t>
        </is>
      </c>
      <c r="G86" s="31" t="n">
        <v>2015</v>
      </c>
      <c r="H86" s="31" t="inlineStr">
        <is>
          <t>No - ganó el Estado</t>
        </is>
      </c>
      <c r="I86" s="31" t="inlineStr">
        <is>
          <t>No</t>
        </is>
      </c>
      <c r="J86" s="31" t="inlineStr"/>
      <c r="K86" s="31" t="inlineStr">
        <is>
          <t>200.00 EUR (232.80 USD)</t>
        </is>
      </c>
      <c r="L86" s="31" t="inlineStr"/>
      <c r="M86" s="31" t="inlineStr">
        <is>
          <t>Tertiary - K - Financial and insurance activities</t>
        </is>
      </c>
      <c r="N86" s="31" t="inlineStr"/>
      <c r="O86" s="31" t="inlineStr">
        <is>
          <t>Austria - Malta BIT (2002)</t>
        </is>
      </c>
      <c r="P86" s="31" t="inlineStr"/>
      <c r="Q86" s="31" t="inlineStr">
        <is>
          <t>Alexandrov, S. A. - Claimant; Stern, B. - Respondent; Pryles, M. C. - President</t>
        </is>
      </c>
      <c r="R86" s="31" t="inlineStr"/>
      <c r="S86" s="31" t="inlineStr"/>
      <c r="T86" s="31" t="inlineStr"/>
      <c r="U86" s="31" t="inlineStr">
        <is>
          <t>Not available</t>
        </is>
      </c>
      <c r="V86" s="31" t="inlineStr">
        <is>
          <t>Pendiente</t>
        </is>
      </c>
    </row>
    <row r="87">
      <c r="A87" s="32" t="n">
        <v>86</v>
      </c>
      <c r="B87" s="32" t="inlineStr">
        <is>
          <t>Belenergia v. Italy</t>
        </is>
      </c>
      <c r="C87" s="32" t="inlineStr">
        <is>
          <t>Belenergia S.A. v. Italian Republic (ICSID Case No. ARB/15/40)</t>
        </is>
      </c>
      <c r="D87" s="32" t="inlineStr">
        <is>
          <t>Italy</t>
        </is>
      </c>
      <c r="E87" s="32" t="inlineStr">
        <is>
          <t>Europa Occidental</t>
        </is>
      </c>
      <c r="F87" s="32" t="inlineStr">
        <is>
          <t>Luxembourg</t>
        </is>
      </c>
      <c r="G87" s="32" t="n">
        <v>2015</v>
      </c>
      <c r="H87" s="32" t="inlineStr">
        <is>
          <t>No - ganó el Estado</t>
        </is>
      </c>
      <c r="I87" s="32" t="inlineStr">
        <is>
          <t>No</t>
        </is>
      </c>
      <c r="J87" s="32" t="inlineStr">
        <is>
          <t>TJE - Trato Justo y Equitativo | Cláusula Paraguas</t>
        </is>
      </c>
      <c r="K87" s="32" t="inlineStr"/>
      <c r="L87" s="32" t="inlineStr"/>
      <c r="M87" s="32" t="inlineStr">
        <is>
          <t>Tertiary - D - Electricity, gas, steam and air conditioning supply</t>
        </is>
      </c>
      <c r="N87" s="32" t="inlineStr">
        <is>
          <t>Medida fiscal/impositiva</t>
        </is>
      </c>
      <c r="O87" s="32" t="inlineStr">
        <is>
          <t>The Energy Charter Treaty (1994)</t>
        </is>
      </c>
      <c r="P87" s="32" t="inlineStr"/>
      <c r="Q87" s="32" t="inlineStr">
        <is>
          <t>Hanotiau, B. - Claimant; Derains, Y. - President; Fernández Rozas, J. C. - Respondent</t>
        </is>
      </c>
      <c r="R87" s="32" t="inlineStr"/>
      <c r="S87" s="32" t="inlineStr"/>
      <c r="T87" s="32" t="inlineStr">
        <is>
          <t>Inglés</t>
        </is>
      </c>
      <c r="U87" s="32" t="inlineStr">
        <is>
          <t>https://www.italaw.com/cases/7532</t>
        </is>
      </c>
      <c r="V87" s="32" t="inlineStr">
        <is>
          <t>Sí</t>
        </is>
      </c>
    </row>
    <row r="88">
      <c r="A88" s="32" t="n">
        <v>87</v>
      </c>
      <c r="B88" s="32" t="inlineStr">
        <is>
          <t>Capital Financial Holdings v. Cameroon</t>
        </is>
      </c>
      <c r="C88" s="32" t="inlineStr">
        <is>
          <t>Capital Financial Holdings Luxembourg S.A. v. Republic of Cameroon (ICSID Case No. ARB/15/18)</t>
        </is>
      </c>
      <c r="D88" s="32" t="inlineStr">
        <is>
          <t>Cameroon</t>
        </is>
      </c>
      <c r="E88" s="32" t="inlineStr">
        <is>
          <t>África Subsahariana</t>
        </is>
      </c>
      <c r="F88" s="32" t="inlineStr">
        <is>
          <t>Luxembourg</t>
        </is>
      </c>
      <c r="G88" s="32" t="n">
        <v>2015</v>
      </c>
      <c r="H88" s="32" t="inlineStr">
        <is>
          <t>No - ganó el Estado</t>
        </is>
      </c>
      <c r="I88" s="32" t="inlineStr">
        <is>
          <t>No</t>
        </is>
      </c>
      <c r="J88" s="32" t="inlineStr">
        <is>
          <t>TJE - Trato Justo y Equitativo | Expropiación</t>
        </is>
      </c>
      <c r="K88" s="32" t="inlineStr">
        <is>
          <t>100.00 EUR (112.00 USD)</t>
        </is>
      </c>
      <c r="L88" s="32" t="inlineStr"/>
      <c r="M88" s="32" t="inlineStr">
        <is>
          <t>Tertiary - K - Financial and insurance activities</t>
        </is>
      </c>
      <c r="N88" s="32" t="inlineStr"/>
      <c r="O88" s="32" t="inlineStr">
        <is>
          <t>BLEU (Belgium-Luxembourg Economic Union) - Cameroon BIT (1980)</t>
        </is>
      </c>
      <c r="P88" s="32" t="inlineStr"/>
      <c r="Q88" s="32" t="inlineStr">
        <is>
          <t>Tercier, P. - President; Mourre, A. - Claimant; Pellet, A. - Respondent</t>
        </is>
      </c>
      <c r="R88" s="32" t="inlineStr">
        <is>
          <t>ICSID annulment proceedings</t>
        </is>
      </c>
      <c r="S88" s="32" t="inlineStr">
        <is>
          <t>Award/decision upheld ICSID annulment proceedings</t>
        </is>
      </c>
      <c r="T88" s="32" t="inlineStr">
        <is>
          <t>Indeterminado</t>
        </is>
      </c>
      <c r="U88" s="32" t="inlineStr">
        <is>
          <t>https://www.italaw.com/cases/5954</t>
        </is>
      </c>
      <c r="V88" s="32" t="inlineStr">
        <is>
          <t>Sí</t>
        </is>
      </c>
    </row>
    <row r="89">
      <c r="A89" s="33" t="n">
        <v>88</v>
      </c>
      <c r="B89" s="33" t="inlineStr">
        <is>
          <t>Cavalum SGPS v. Spain</t>
        </is>
      </c>
      <c r="C89" s="33" t="inlineStr">
        <is>
          <t>Cavalum SGPS, S.A. v. Kingdom of Spain (ICSID Case No. ARB/15/34)</t>
        </is>
      </c>
      <c r="D89" s="33" t="inlineStr">
        <is>
          <t>Spain</t>
        </is>
      </c>
      <c r="E89" s="33" t="inlineStr">
        <is>
          <t>Europa Occidental</t>
        </is>
      </c>
      <c r="F89" s="33" t="inlineStr">
        <is>
          <t>Portugal</t>
        </is>
      </c>
      <c r="G89" s="33" t="n">
        <v>2015</v>
      </c>
      <c r="H89" s="33" t="inlineStr">
        <is>
          <t>Sí con daños</t>
        </is>
      </c>
      <c r="I89" s="33" t="inlineStr">
        <is>
          <t>Sí</t>
        </is>
      </c>
      <c r="J89" s="33" t="inlineStr">
        <is>
          <t>TJE - Trato Justo y Equitativo | Expropiación | NMF - Nación Más Favorecida | Trato Nacional</t>
        </is>
      </c>
      <c r="K89" s="33" t="inlineStr">
        <is>
          <t>60.00 EUR (69.70 USD)</t>
        </is>
      </c>
      <c r="L89" s="33" t="inlineStr">
        <is>
          <t>7.40 EUR (7.10 USD)</t>
        </is>
      </c>
      <c r="M89" s="33" t="inlineStr">
        <is>
          <t>Tertiary - D - Electricity, gas, steam and air conditioning supply</t>
        </is>
      </c>
      <c r="N89" s="33" t="inlineStr"/>
      <c r="O89" s="33" t="inlineStr">
        <is>
          <t>The Energy Charter Treaty (1994)</t>
        </is>
      </c>
      <c r="P89" s="33" t="inlineStr"/>
      <c r="Q89" s="33" t="inlineStr">
        <is>
          <t>Collins, L. - President; Haigh, D. - Claimant; Bethlehem, D. - Respondent</t>
        </is>
      </c>
      <c r="R89" s="33" t="inlineStr">
        <is>
          <t>ICSID annulment proceedings</t>
        </is>
      </c>
      <c r="S89" s="33" t="inlineStr">
        <is>
          <t>Pending ICSID annulment proceedings</t>
        </is>
      </c>
      <c r="T89" s="33" t="inlineStr">
        <is>
          <t>Indeterminado</t>
        </is>
      </c>
      <c r="U89" s="33" t="inlineStr">
        <is>
          <t>https://www.italaw.com/cases/8480</t>
        </is>
      </c>
      <c r="V89" s="33" t="inlineStr">
        <is>
          <t>Sí</t>
        </is>
      </c>
    </row>
    <row r="90">
      <c r="A90" s="32" t="n">
        <v>89</v>
      </c>
      <c r="B90" s="32" t="inlineStr">
        <is>
          <t>Cortec Mining v. Kenya</t>
        </is>
      </c>
      <c r="C90" s="32" t="inlineStr">
        <is>
          <t>Cortec Mining Kenya Limited, Cortec (Pty) Limited and Stirling Capital Limited v. Republic of Kenya (ICSID Case No. ARB/15/29)</t>
        </is>
      </c>
      <c r="D90" s="32" t="inlineStr">
        <is>
          <t>Kenya</t>
        </is>
      </c>
      <c r="E90" s="32" t="inlineStr">
        <is>
          <t>África Subsahariana</t>
        </is>
      </c>
      <c r="F90" s="32" t="inlineStr">
        <is>
          <t>United Kingdom</t>
        </is>
      </c>
      <c r="G90" s="32" t="n">
        <v>2015</v>
      </c>
      <c r="H90" s="32" t="inlineStr">
        <is>
          <t>No - ganó el Estado</t>
        </is>
      </c>
      <c r="I90" s="32" t="inlineStr">
        <is>
          <t>No</t>
        </is>
      </c>
      <c r="J90" s="32" t="inlineStr">
        <is>
          <t>Expropiación</t>
        </is>
      </c>
      <c r="K90" s="32" t="inlineStr">
        <is>
          <t>2000.00 USD</t>
        </is>
      </c>
      <c r="L90" s="32" t="inlineStr"/>
      <c r="M90" s="32" t="inlineStr">
        <is>
          <t>Primary - B - Mining and quarrying</t>
        </is>
      </c>
      <c r="N90" s="32" t="inlineStr">
        <is>
          <t>Nacionalización</t>
        </is>
      </c>
      <c r="O90" s="32" t="inlineStr">
        <is>
          <t>Kenya - United Kingdom BIT (1999)</t>
        </is>
      </c>
      <c r="P90" s="32" t="inlineStr"/>
      <c r="Q90" s="32" t="inlineStr">
        <is>
          <t>Stern, B. - Respondent; Dharmananda, K. - Claimant; Binnie, I. - President</t>
        </is>
      </c>
      <c r="R90" s="32" t="inlineStr">
        <is>
          <t>ICSID annulment proceedings</t>
        </is>
      </c>
      <c r="S90" s="32" t="inlineStr">
        <is>
          <t>Award/decision upheld ICSID annulment proceedings</t>
        </is>
      </c>
      <c r="T90" s="32" t="inlineStr">
        <is>
          <t>Inglés</t>
        </is>
      </c>
      <c r="U90" s="32" t="inlineStr">
        <is>
          <t>https://www.italaw.com/cases/3974</t>
        </is>
      </c>
      <c r="V90" s="32" t="inlineStr">
        <is>
          <t>Sí</t>
        </is>
      </c>
    </row>
    <row r="91">
      <c r="A91" s="33" t="n">
        <v>90</v>
      </c>
      <c r="B91" s="33" t="inlineStr">
        <is>
          <t>Cube Infrastructure and others v. Spain</t>
        </is>
      </c>
      <c r="C91" s="33" t="inlineStr">
        <is>
          <t>Cube Infrastructure Fund SICAV and others v. Kingdom of Spain (ICSID Case No. ARB/15/20)</t>
        </is>
      </c>
      <c r="D91" s="33" t="inlineStr">
        <is>
          <t>Spain</t>
        </is>
      </c>
      <c r="E91" s="33" t="inlineStr">
        <is>
          <t>Europa Occidental</t>
        </is>
      </c>
      <c r="F91" s="33" t="inlineStr">
        <is>
          <t>France;
Luxembourg</t>
        </is>
      </c>
      <c r="G91" s="33" t="n">
        <v>2015</v>
      </c>
      <c r="H91" s="33" t="inlineStr">
        <is>
          <t>Sí con daños</t>
        </is>
      </c>
      <c r="I91" s="33" t="inlineStr">
        <is>
          <t>Sí</t>
        </is>
      </c>
      <c r="J91" s="33" t="inlineStr">
        <is>
          <t>TJE - Trato Justo y Equitativo</t>
        </is>
      </c>
      <c r="K91" s="33" t="inlineStr">
        <is>
          <t>74.10 EUR (83.50 USD)</t>
        </is>
      </c>
      <c r="L91" s="33" t="inlineStr">
        <is>
          <t>33.70 EUR (38.00 USD)</t>
        </is>
      </c>
      <c r="M91" s="33" t="inlineStr">
        <is>
          <t>Tertiary - D - Electricity, gas, steam and air conditioning supply</t>
        </is>
      </c>
      <c r="N91" s="33" t="inlineStr">
        <is>
          <t>Medida fiscal/impositiva</t>
        </is>
      </c>
      <c r="O91" s="33" t="inlineStr">
        <is>
          <t>The Energy Charter Treaty (1994)</t>
        </is>
      </c>
      <c r="P91" s="33" t="inlineStr"/>
      <c r="Q91" s="33" t="inlineStr">
        <is>
          <t>Spigelman, J. - Claimant; Lowe, V. - President; Tomuschat, C. - Respondent</t>
        </is>
      </c>
      <c r="R91" s="33" t="inlineStr">
        <is>
          <t>ICSID annulment proceedings</t>
        </is>
      </c>
      <c r="S91" s="33" t="inlineStr">
        <is>
          <t>Award/decision upheld ICSID annulment proceedings</t>
        </is>
      </c>
      <c r="T91" s="33" t="inlineStr">
        <is>
          <t>Inglés</t>
        </is>
      </c>
      <c r="U91" s="33" t="inlineStr">
        <is>
          <t>https://www.italaw.com/cases/7477</t>
        </is>
      </c>
      <c r="V91" s="33" t="inlineStr">
        <is>
          <t>Sí</t>
        </is>
      </c>
    </row>
    <row r="92">
      <c r="A92" s="31" t="n">
        <v>91</v>
      </c>
      <c r="B92" s="31" t="inlineStr">
        <is>
          <t>El Jaouni v. Lebanon</t>
        </is>
      </c>
      <c r="C92" s="31" t="inlineStr">
        <is>
          <t>Abed El Jaouni and Imperial Holding SAL v. Lebanese Republic (ICSID Case No. ARB/15/3)</t>
        </is>
      </c>
      <c r="D92" s="31" t="inlineStr">
        <is>
          <t>Lebanon</t>
        </is>
      </c>
      <c r="E92" s="31" t="inlineStr">
        <is>
          <t>Medio Oriente/Norte África</t>
        </is>
      </c>
      <c r="F92" s="31" t="inlineStr">
        <is>
          <t>Germany</t>
        </is>
      </c>
      <c r="G92" s="31" t="n">
        <v>2015</v>
      </c>
      <c r="H92" s="31" t="inlineStr">
        <is>
          <t>Sí con daños</t>
        </is>
      </c>
      <c r="I92" s="31" t="inlineStr">
        <is>
          <t>Sí</t>
        </is>
      </c>
      <c r="J92" s="31" t="inlineStr"/>
      <c r="K92" s="31" t="inlineStr">
        <is>
          <t>981.90 USD</t>
        </is>
      </c>
      <c r="L92" s="31" t="inlineStr">
        <is>
          <t>218.20 USD</t>
        </is>
      </c>
      <c r="M92" s="31" t="inlineStr">
        <is>
          <t>Tertiary - H - Transportation and storage</t>
        </is>
      </c>
      <c r="N92" s="31" t="inlineStr"/>
      <c r="O92" s="31" t="inlineStr">
        <is>
          <t>Germany - Lebanon BIT (1997)</t>
        </is>
      </c>
      <c r="P92" s="31" t="inlineStr"/>
      <c r="Q92" s="31" t="inlineStr">
        <is>
          <t>van den Berg, A. J. - President; Rowley, J. W. - Claimant; Oreamuno Blanco, R. - Respondent</t>
        </is>
      </c>
      <c r="R92" s="31" t="inlineStr">
        <is>
          <t>ICSID annulment proceedings</t>
        </is>
      </c>
      <c r="S92" s="31" t="inlineStr">
        <is>
          <t>Pending ICSID annulment proceedings</t>
        </is>
      </c>
      <c r="T92" s="31" t="inlineStr"/>
      <c r="U92" s="31" t="inlineStr">
        <is>
          <t>Not available</t>
        </is>
      </c>
      <c r="V92" s="31" t="inlineStr">
        <is>
          <t>Pendiente</t>
        </is>
      </c>
    </row>
    <row r="93">
      <c r="A93" s="31" t="n">
        <v>92</v>
      </c>
      <c r="B93" s="31" t="inlineStr">
        <is>
          <t>ENERGO-PRO v. Bulgaria</t>
        </is>
      </c>
      <c r="C93" s="31" t="inlineStr">
        <is>
          <t>ENERGO-PRO a.s. v. Republic of Bulgaria (ICSID Case No. ARB/15/19)</t>
        </is>
      </c>
      <c r="D93" s="31" t="inlineStr">
        <is>
          <t>Bulgaria</t>
        </is>
      </c>
      <c r="E93" s="31" t="inlineStr">
        <is>
          <t>Europa Occidental</t>
        </is>
      </c>
      <c r="F93" s="31" t="inlineStr">
        <is>
          <t>Czechia</t>
        </is>
      </c>
      <c r="G93" s="31" t="n">
        <v>2015</v>
      </c>
      <c r="H93" s="31" t="inlineStr">
        <is>
          <t>No - ganó el Estado</t>
        </is>
      </c>
      <c r="I93" s="31" t="inlineStr">
        <is>
          <t>No</t>
        </is>
      </c>
      <c r="J93" s="31" t="inlineStr"/>
      <c r="K93" s="31" t="inlineStr"/>
      <c r="L93" s="31" t="inlineStr"/>
      <c r="M93" s="31" t="inlineStr">
        <is>
          <t>Tertiary - D - Electricity, gas, steam and air conditioning supply</t>
        </is>
      </c>
      <c r="N93" s="31" t="inlineStr"/>
      <c r="O93" s="31" t="inlineStr">
        <is>
          <t>The Energy Charter Treaty (1994);
Bulgaria - Czech Republic BIT (1999)</t>
        </is>
      </c>
      <c r="P93" s="31" t="inlineStr"/>
      <c r="Q93" s="31" t="inlineStr">
        <is>
          <t>Orrego Vicuña, F. - Claimant (replaced); Miles, W. J. - President (replaced); Cheng, T. - President (replaced); Hanotiau, B. - President; Konrad, S. - Claimant; Pellet, A. - Respondent</t>
        </is>
      </c>
      <c r="R93" s="31" t="inlineStr"/>
      <c r="S93" s="31" t="inlineStr"/>
      <c r="T93" s="31" t="inlineStr"/>
      <c r="U93" s="31" t="inlineStr">
        <is>
          <t>Not available</t>
        </is>
      </c>
      <c r="V93" s="31" t="inlineStr">
        <is>
          <t>Pendiente</t>
        </is>
      </c>
    </row>
    <row r="94">
      <c r="A94" s="32" t="n">
        <v>93</v>
      </c>
      <c r="B94" s="32" t="inlineStr">
        <is>
          <t>Eskosol v. Italy</t>
        </is>
      </c>
      <c r="C94" s="32" t="inlineStr">
        <is>
          <t>Eskosol S.p.A. in liquidazione v. Italian Republic (ICSID Case No. ARB/15/50)</t>
        </is>
      </c>
      <c r="D94" s="32" t="inlineStr">
        <is>
          <t>Italy</t>
        </is>
      </c>
      <c r="E94" s="32" t="inlineStr">
        <is>
          <t>Europa Occidental</t>
        </is>
      </c>
      <c r="F94" s="32" t="inlineStr">
        <is>
          <t>Italy</t>
        </is>
      </c>
      <c r="G94" s="32" t="n">
        <v>2015</v>
      </c>
      <c r="H94" s="32" t="inlineStr">
        <is>
          <t>No - ganó el Estado</t>
        </is>
      </c>
      <c r="I94" s="32" t="inlineStr">
        <is>
          <t>No</t>
        </is>
      </c>
      <c r="J94" s="32" t="inlineStr">
        <is>
          <t>TJE - Trato Justo y Equitativo | Expropiación | Cláusula Paraguas</t>
        </is>
      </c>
      <c r="K94" s="32" t="inlineStr"/>
      <c r="L94" s="32" t="inlineStr"/>
      <c r="M94" s="32" t="inlineStr">
        <is>
          <t>Tertiary - D - Electricity, gas, steam and air conditioning supply</t>
        </is>
      </c>
      <c r="N94" s="32" t="inlineStr">
        <is>
          <t>Cambio regulatorio</t>
        </is>
      </c>
      <c r="O94" s="32" t="inlineStr">
        <is>
          <t>The Energy Charter Treaty (1994)</t>
        </is>
      </c>
      <c r="P94" s="32" t="inlineStr"/>
      <c r="Q94" s="32" t="inlineStr">
        <is>
          <t>Tawil, G. S. - Claimant; Dupuy, P.-M. - Respondent (replaced); Stern, B. - Respondent; Kalicki, J. E. - President</t>
        </is>
      </c>
      <c r="R94" s="32" t="inlineStr"/>
      <c r="S94" s="32" t="inlineStr"/>
      <c r="T94" s="32" t="inlineStr">
        <is>
          <t>Inglés</t>
        </is>
      </c>
      <c r="U94" s="32" t="inlineStr">
        <is>
          <t>https://www.italaw.com/cases/5895</t>
        </is>
      </c>
      <c r="V94" s="32" t="inlineStr">
        <is>
          <t>Sí</t>
        </is>
      </c>
    </row>
    <row r="95">
      <c r="A95" s="33" t="n">
        <v>94</v>
      </c>
      <c r="B95" s="33" t="inlineStr">
        <is>
          <t>Hydro and others v. Albania</t>
        </is>
      </c>
      <c r="C95" s="33" t="inlineStr">
        <is>
          <t>Hydro S.r.l. and others v. Republic of Albania (ICSID Case No. ARB/15/28)</t>
        </is>
      </c>
      <c r="D95" s="33" t="inlineStr">
        <is>
          <t>Albania</t>
        </is>
      </c>
      <c r="E95" s="33" t="inlineStr">
        <is>
          <t>Europa Occidental</t>
        </is>
      </c>
      <c r="F95" s="33" t="inlineStr">
        <is>
          <t>Italy</t>
        </is>
      </c>
      <c r="G95" s="33" t="n">
        <v>2015</v>
      </c>
      <c r="H95" s="33" t="inlineStr">
        <is>
          <t>Sí con daños</t>
        </is>
      </c>
      <c r="I95" s="33" t="inlineStr">
        <is>
          <t>Sí</t>
        </is>
      </c>
      <c r="J95" s="33" t="inlineStr">
        <is>
          <t>Expropiación</t>
        </is>
      </c>
      <c r="K95" s="33" t="inlineStr">
        <is>
          <t>650.00 EUR (728.40 USD)</t>
        </is>
      </c>
      <c r="L95" s="33" t="inlineStr">
        <is>
          <t>99.50 EUR (111.80 USD)</t>
        </is>
      </c>
      <c r="M95" s="33" t="inlineStr">
        <is>
          <t>Tertiary - D - Electricity, gas, steam and air conditioning supply;
Tertiary - E - Water supply; sewerage, waste management and remediation activities;
Tertiary - J - Information and communication</t>
        </is>
      </c>
      <c r="N95" s="33" t="inlineStr"/>
      <c r="O95" s="33" t="inlineStr">
        <is>
          <t>Albania - Italy BIT (1991)</t>
        </is>
      </c>
      <c r="P95" s="33" t="inlineStr"/>
      <c r="Q95" s="33" t="inlineStr">
        <is>
          <t>Pryles, M. C. - President; Poncet, C. - Claimant; Glick, I. - Respondent</t>
        </is>
      </c>
      <c r="R95" s="33" t="inlineStr">
        <is>
          <t>ICSID annulment proceedings</t>
        </is>
      </c>
      <c r="S95" s="33" t="inlineStr">
        <is>
          <t>Award/decision upheld ICSID annulment proceedings</t>
        </is>
      </c>
      <c r="T95" s="33" t="inlineStr">
        <is>
          <t>Inglés</t>
        </is>
      </c>
      <c r="U95" s="33" t="inlineStr">
        <is>
          <t>https://www.italaw.com/cases/3958</t>
        </is>
      </c>
      <c r="V95" s="33" t="inlineStr">
        <is>
          <t>Sí</t>
        </is>
      </c>
    </row>
    <row r="96">
      <c r="A96" s="33" t="n">
        <v>95</v>
      </c>
      <c r="B96" s="33" t="inlineStr">
        <is>
          <t>Hydro Energy 1 and Hydroxana v. Spain</t>
        </is>
      </c>
      <c r="C96" s="33" t="inlineStr">
        <is>
          <t>Hydro Energy 1 S.à r.l. and Hydroxana Sweden AB v. Kingdom of Spain (ICSID Case No. ARB/15/42)</t>
        </is>
      </c>
      <c r="D96" s="33" t="inlineStr">
        <is>
          <t>Spain</t>
        </is>
      </c>
      <c r="E96" s="33" t="inlineStr">
        <is>
          <t>Europa Occidental</t>
        </is>
      </c>
      <c r="F96" s="33" t="inlineStr">
        <is>
          <t>Luxembourg;
Sweden</t>
        </is>
      </c>
      <c r="G96" s="33" t="n">
        <v>2015</v>
      </c>
      <c r="H96" s="33" t="inlineStr">
        <is>
          <t>Sí con daños</t>
        </is>
      </c>
      <c r="I96" s="33" t="inlineStr">
        <is>
          <t>Sí</t>
        </is>
      </c>
      <c r="J96" s="33" t="inlineStr">
        <is>
          <t>TJE - Trato Justo y Equitativo | Expropiación</t>
        </is>
      </c>
      <c r="K96" s="33" t="inlineStr">
        <is>
          <t>132.10 EUR (149.10 USD)</t>
        </is>
      </c>
      <c r="L96" s="33" t="inlineStr">
        <is>
          <t>30.90 EUR (36.40 USD)</t>
        </is>
      </c>
      <c r="M96" s="33" t="inlineStr">
        <is>
          <t>Tertiary - D - Electricity, gas, steam and air conditioning supply</t>
        </is>
      </c>
      <c r="N96" s="33" t="inlineStr"/>
      <c r="O96" s="33" t="inlineStr">
        <is>
          <t>The Energy Charter Treaty (1994)</t>
        </is>
      </c>
      <c r="P96" s="33" t="inlineStr"/>
      <c r="Q96" s="33" t="inlineStr">
        <is>
          <t>Collins, L. - President; Rees, P. - Claimant; Knieper, R. - Respondent</t>
        </is>
      </c>
      <c r="R96" s="33" t="inlineStr">
        <is>
          <t>ICSID annulment proceedings</t>
        </is>
      </c>
      <c r="S96" s="33" t="inlineStr">
        <is>
          <t>Award/decision upheld ICSID annulment proceedings</t>
        </is>
      </c>
      <c r="T96" s="33" t="inlineStr">
        <is>
          <t>Inglés</t>
        </is>
      </c>
      <c r="U96" s="33" t="inlineStr">
        <is>
          <t>https://www.italaw.com/cases/7980</t>
        </is>
      </c>
      <c r="V96" s="33" t="inlineStr">
        <is>
          <t>Sí</t>
        </is>
      </c>
    </row>
    <row r="97">
      <c r="A97" s="31" t="n">
        <v>96</v>
      </c>
      <c r="B97" s="31" t="inlineStr">
        <is>
          <t>JGC v. Spain</t>
        </is>
      </c>
      <c r="C97" s="31" t="inlineStr">
        <is>
          <t>JGC Holdings Corporation (formerly JGC Corporation) v. Kingdom of Spain (ICSID Case No. ARB/15/27)</t>
        </is>
      </c>
      <c r="D97" s="31" t="inlineStr">
        <is>
          <t>Spain</t>
        </is>
      </c>
      <c r="E97" s="31" t="inlineStr">
        <is>
          <t>Europa Occidental</t>
        </is>
      </c>
      <c r="F97" s="31" t="inlineStr">
        <is>
          <t>Japan</t>
        </is>
      </c>
      <c r="G97" s="31" t="n">
        <v>2015</v>
      </c>
      <c r="H97" s="31" t="inlineStr">
        <is>
          <t>Sí con daños</t>
        </is>
      </c>
      <c r="I97" s="31" t="inlineStr">
        <is>
          <t>Sí</t>
        </is>
      </c>
      <c r="J97" s="31" t="inlineStr"/>
      <c r="K97" s="31" t="inlineStr">
        <is>
          <t>93.50 EUR (108.60 USD)</t>
        </is>
      </c>
      <c r="L97" s="31" t="inlineStr">
        <is>
          <t>23.50 EUR (27.20 USD)</t>
        </is>
      </c>
      <c r="M97" s="31" t="inlineStr">
        <is>
          <t>Tertiary - D - Electricity, gas, steam and air conditioning supply</t>
        </is>
      </c>
      <c r="N97" s="31" t="inlineStr"/>
      <c r="O97" s="31" t="inlineStr">
        <is>
          <t>The Energy Charter Treaty (1994)</t>
        </is>
      </c>
      <c r="P97" s="31" t="inlineStr"/>
      <c r="Q97" s="31" t="inlineStr">
        <is>
          <t>Dolzer, R. - Claimant (replaced); Shin, H.-T. - President; Pinto, M. - Respondent; Reinisch, A. - Claimant</t>
        </is>
      </c>
      <c r="R97" s="31" t="inlineStr">
        <is>
          <t>ICSID annulment proceedings</t>
        </is>
      </c>
      <c r="S97" s="31" t="inlineStr">
        <is>
          <t>Pending ICSID annulment proceedings</t>
        </is>
      </c>
      <c r="T97" s="31" t="inlineStr"/>
      <c r="U97" s="31" t="inlineStr">
        <is>
          <t>Not available</t>
        </is>
      </c>
      <c r="V97" s="31" t="inlineStr">
        <is>
          <t>Pendiente</t>
        </is>
      </c>
    </row>
    <row r="98">
      <c r="A98" s="33" t="n">
        <v>97</v>
      </c>
      <c r="B98" s="33" t="inlineStr">
        <is>
          <t>Kruck and others v. Spain</t>
        </is>
      </c>
      <c r="C98" s="33" t="inlineStr">
        <is>
          <t>Frank Schumm, Joachim Kruck, Jürgen Reiss and others v. Kingdom of Spain (ICSID Case No. ARB/15/23)</t>
        </is>
      </c>
      <c r="D98" s="33" t="inlineStr">
        <is>
          <t>Spain</t>
        </is>
      </c>
      <c r="E98" s="33" t="inlineStr">
        <is>
          <t>Europa Occidental</t>
        </is>
      </c>
      <c r="F98" s="33" t="inlineStr">
        <is>
          <t>Germany</t>
        </is>
      </c>
      <c r="G98" s="33" t="n">
        <v>2015</v>
      </c>
      <c r="H98" s="33" t="inlineStr">
        <is>
          <t>Sí con daños</t>
        </is>
      </c>
      <c r="I98" s="33" t="inlineStr">
        <is>
          <t>Sí</t>
        </is>
      </c>
      <c r="J98" s="33" t="inlineStr">
        <is>
          <t>TJE - Trato Justo y Equitativo</t>
        </is>
      </c>
      <c r="K98" s="33" t="inlineStr">
        <is>
          <t>21.50 EUR (23.30 USD)</t>
        </is>
      </c>
      <c r="L98" s="33" t="inlineStr">
        <is>
          <t>15.00 EUR (16.30 USD)</t>
        </is>
      </c>
      <c r="M98" s="33" t="inlineStr">
        <is>
          <t>Tertiary - D - Electricity, gas, steam and air conditioning supply</t>
        </is>
      </c>
      <c r="N98" s="33" t="inlineStr">
        <is>
          <t>Medida fiscal/impositiva</t>
        </is>
      </c>
      <c r="O98" s="33" t="inlineStr">
        <is>
          <t>The Energy Charter Treaty (1994)</t>
        </is>
      </c>
      <c r="P98" s="33" t="inlineStr"/>
      <c r="Q98" s="33" t="inlineStr">
        <is>
          <t>Born, G. B. - Claimant (replaced); Lowe, V. - President; Douglas, Z. - Respondent; Pryles, M. C. - Claimant</t>
        </is>
      </c>
      <c r="R98" s="33" t="inlineStr">
        <is>
          <t>ICSID annulment proceedings</t>
        </is>
      </c>
      <c r="S98" s="33" t="inlineStr">
        <is>
          <t>Pending ICSID annulment proceedings</t>
        </is>
      </c>
      <c r="T98" s="33" t="inlineStr">
        <is>
          <t>Inglés</t>
        </is>
      </c>
      <c r="U98" s="33" t="inlineStr">
        <is>
          <t>https://www.italaw.com/cases/6486</t>
        </is>
      </c>
      <c r="V98" s="33" t="inlineStr">
        <is>
          <t>Sí</t>
        </is>
      </c>
    </row>
    <row r="99">
      <c r="A99" s="33" t="n">
        <v>98</v>
      </c>
      <c r="B99" s="33" t="inlineStr">
        <is>
          <t>Lion v. Mexico</t>
        </is>
      </c>
      <c r="C99" s="33" t="inlineStr">
        <is>
          <t>Lion Mexico Consolidated L.P. v. United Mexican States (ICSID Case No. ARB(AF)/15/2)</t>
        </is>
      </c>
      <c r="D99" s="33" t="inlineStr">
        <is>
          <t>Mexico</t>
        </is>
      </c>
      <c r="E99" s="33" t="inlineStr">
        <is>
          <t>América del Norte</t>
        </is>
      </c>
      <c r="F99" s="33" t="inlineStr">
        <is>
          <t>Canada</t>
        </is>
      </c>
      <c r="G99" s="33" t="n">
        <v>2015</v>
      </c>
      <c r="H99" s="33" t="inlineStr">
        <is>
          <t>Sí con daños</t>
        </is>
      </c>
      <c r="I99" s="33" t="inlineStr">
        <is>
          <t>Sí</t>
        </is>
      </c>
      <c r="J99" s="33" t="inlineStr"/>
      <c r="K99" s="33" t="inlineStr">
        <is>
          <t>99.10 USD</t>
        </is>
      </c>
      <c r="L99" s="33" t="inlineStr">
        <is>
          <t>47.00 USD</t>
        </is>
      </c>
      <c r="M99" s="33" t="inlineStr">
        <is>
          <t>Tertiary - F - Construction</t>
        </is>
      </c>
      <c r="N99" s="33" t="inlineStr"/>
      <c r="O99" s="33" t="inlineStr">
        <is>
          <t>NAFTA (1992)</t>
        </is>
      </c>
      <c r="P99" s="33" t="inlineStr">
        <is>
          <t>4.1  Shares</t>
        </is>
      </c>
      <c r="Q99" s="33" t="inlineStr">
        <is>
          <t>Fernández-Armesto, J. - President; Cairns, D. J. A. - Claimant; Ramírez Hernández, R. - Respondent (replaced); Boisson de Chazournes, L. - Respondent</t>
        </is>
      </c>
      <c r="R99" s="33" t="inlineStr"/>
      <c r="S99" s="33" t="inlineStr"/>
      <c r="T99" s="33" t="inlineStr">
        <is>
          <t>Inglés</t>
        </is>
      </c>
      <c r="U99" s="33" t="inlineStr">
        <is>
          <t>http://www.italaw.com/cases/3828</t>
        </is>
      </c>
      <c r="V99" s="33" t="inlineStr">
        <is>
          <t>Sí</t>
        </is>
      </c>
    </row>
    <row r="100">
      <c r="A100" s="32" t="n">
        <v>99</v>
      </c>
      <c r="B100" s="32" t="inlineStr">
        <is>
          <t>MMEA and AHSI v. Senegal</t>
        </is>
      </c>
      <c r="C100" s="32" t="inlineStr">
        <is>
          <t>Menzies Middle East and Africa S.A. and Aviation Handling Services International Ltd. v. Republic of Senegal (ICSID Case No. ARB/15/21)</t>
        </is>
      </c>
      <c r="D100" s="32" t="inlineStr">
        <is>
          <t>Senegal</t>
        </is>
      </c>
      <c r="E100" s="32" t="inlineStr">
        <is>
          <t>África Subsahariana</t>
        </is>
      </c>
      <c r="F100" s="32" t="inlineStr">
        <is>
          <t>United Kingdom;
Netherlands</t>
        </is>
      </c>
      <c r="G100" s="32" t="n">
        <v>2015</v>
      </c>
      <c r="H100" s="32" t="inlineStr">
        <is>
          <t>No - ganó el Estado</t>
        </is>
      </c>
      <c r="I100" s="32" t="inlineStr">
        <is>
          <t>No</t>
        </is>
      </c>
      <c r="J100" s="32" t="inlineStr">
        <is>
          <t>TJE - Trato Justo y Equitativo</t>
        </is>
      </c>
      <c r="K100" s="32" t="inlineStr">
        <is>
          <t>41.63 EUR (44.11 USD)</t>
        </is>
      </c>
      <c r="L100" s="32" t="inlineStr"/>
      <c r="M100" s="32" t="inlineStr">
        <is>
          <t>Tertiary - H - Transportation and storage</t>
        </is>
      </c>
      <c r="N100" s="32" t="inlineStr"/>
      <c r="O100" s="32" t="inlineStr">
        <is>
          <t>Netherlands - Senegal BIT (1979);
Senegal - United Kingdom BIT (1980)</t>
        </is>
      </c>
      <c r="P100" s="32" t="inlineStr"/>
      <c r="Q100" s="32" t="inlineStr">
        <is>
          <t>Hanotiau, B. - President; Gharavi, H. G. - Claimant; Mayer, P. - Respondent</t>
        </is>
      </c>
      <c r="R100" s="32" t="inlineStr"/>
      <c r="S100" s="32" t="inlineStr"/>
      <c r="T100" s="32" t="inlineStr">
        <is>
          <t>Indeterminado</t>
        </is>
      </c>
      <c r="U100" s="32" t="inlineStr">
        <is>
          <t>http://www.italaw.com/cases/3792</t>
        </is>
      </c>
      <c r="V100" s="32" t="inlineStr">
        <is>
          <t>Sí</t>
        </is>
      </c>
    </row>
    <row r="101">
      <c r="A101" s="33" t="n">
        <v>100</v>
      </c>
      <c r="B101" s="33" t="inlineStr">
        <is>
          <t>OperaFund and Schwab v. Spain</t>
        </is>
      </c>
      <c r="C101" s="33" t="inlineStr">
        <is>
          <t>OperaFund Eco-Invest SICAV PLC and Schwab Holding AG v. Kingdom of Spain (ICSID Case No. ARB/15/36)</t>
        </is>
      </c>
      <c r="D101" s="33" t="inlineStr">
        <is>
          <t>Spain</t>
        </is>
      </c>
      <c r="E101" s="33" t="inlineStr">
        <is>
          <t>Europa Occidental</t>
        </is>
      </c>
      <c r="F101" s="33" t="inlineStr">
        <is>
          <t>Malta;
Switzerland</t>
        </is>
      </c>
      <c r="G101" s="33" t="n">
        <v>2015</v>
      </c>
      <c r="H101" s="33" t="inlineStr">
        <is>
          <t>Sí con daños</t>
        </is>
      </c>
      <c r="I101" s="33" t="inlineStr">
        <is>
          <t>Sí</t>
        </is>
      </c>
      <c r="J101" s="33" t="inlineStr">
        <is>
          <t>TJE - Trato Justo y Equitativo</t>
        </is>
      </c>
      <c r="K101" s="33" t="inlineStr">
        <is>
          <t>42.00 EUR (46.40 USD)</t>
        </is>
      </c>
      <c r="L101" s="33" t="inlineStr">
        <is>
          <t>29.30 USD</t>
        </is>
      </c>
      <c r="M101" s="33" t="inlineStr">
        <is>
          <t>Tertiary - D - Electricity, gas, steam and air conditioning supply;
Tertiary - H - Transportation and storage</t>
        </is>
      </c>
      <c r="N101" s="33" t="inlineStr">
        <is>
          <t>Cambio regulatorio</t>
        </is>
      </c>
      <c r="O101" s="33" t="inlineStr">
        <is>
          <t>The Energy Charter Treaty (1994)</t>
        </is>
      </c>
      <c r="P101" s="33" t="inlineStr">
        <is>
          <t>20% share</t>
        </is>
      </c>
      <c r="Q101" s="33" t="inlineStr">
        <is>
          <t>Böckstiegel, K.-H. - President; Reinisch, A. - Claimant; Sands, P. - Respondent</t>
        </is>
      </c>
      <c r="R101" s="33" t="inlineStr">
        <is>
          <t>ICSID annulment proceedings</t>
        </is>
      </c>
      <c r="S101" s="33" t="inlineStr">
        <is>
          <t>Award/decision upheld ICSID annulment proceedings</t>
        </is>
      </c>
      <c r="T101" s="33" t="inlineStr">
        <is>
          <t>Inglés</t>
        </is>
      </c>
      <c r="U101" s="33" t="inlineStr">
        <is>
          <t>https://www.italaw.com/cases/3998</t>
        </is>
      </c>
      <c r="V101" s="33" t="inlineStr">
        <is>
          <t>Sí</t>
        </is>
      </c>
    </row>
    <row r="102">
      <c r="A102" s="31" t="n">
        <v>101</v>
      </c>
      <c r="B102" s="31" t="inlineStr">
        <is>
          <t>SGRF v. Bulgaria</t>
        </is>
      </c>
      <c r="C102" s="31" t="inlineStr">
        <is>
          <t>State General Reserve Fund of the Sultanate of Oman v. Republic of Bulgaria (ICSID Case No. ARB/15/43)</t>
        </is>
      </c>
      <c r="D102" s="31" t="inlineStr">
        <is>
          <t>Bulgaria</t>
        </is>
      </c>
      <c r="E102" s="31" t="inlineStr">
        <is>
          <t>Europa Occidental</t>
        </is>
      </c>
      <c r="F102" s="31" t="inlineStr">
        <is>
          <t>Oman</t>
        </is>
      </c>
      <c r="G102" s="31" t="n">
        <v>2015</v>
      </c>
      <c r="H102" s="31" t="inlineStr">
        <is>
          <t>No - ganó el Estado</t>
        </is>
      </c>
      <c r="I102" s="31" t="inlineStr">
        <is>
          <t>No</t>
        </is>
      </c>
      <c r="J102" s="31" t="inlineStr"/>
      <c r="K102" s="31" t="inlineStr">
        <is>
          <t>80.00 EUR (89.60 USD)</t>
        </is>
      </c>
      <c r="L102" s="31" t="inlineStr"/>
      <c r="M102" s="31" t="inlineStr">
        <is>
          <t>Tertiary - K - Financial and insurance activities</t>
        </is>
      </c>
      <c r="N102" s="31" t="inlineStr"/>
      <c r="O102" s="31" t="inlineStr">
        <is>
          <t>Bulgaria - Oman BIT (2007)</t>
        </is>
      </c>
      <c r="P102" s="31" t="inlineStr"/>
      <c r="Q102" s="31" t="inlineStr">
        <is>
          <t>Lowe, V. - President; Haigh, D. - Claimant; Stern, B. - Respondent</t>
        </is>
      </c>
      <c r="R102" s="31" t="inlineStr"/>
      <c r="S102" s="31" t="inlineStr"/>
      <c r="T102" s="31" t="inlineStr"/>
      <c r="U102" s="31" t="inlineStr">
        <is>
          <t>Not available</t>
        </is>
      </c>
      <c r="V102" s="31" t="inlineStr">
        <is>
          <t>Pendiente</t>
        </is>
      </c>
    </row>
    <row r="103">
      <c r="A103" s="31" t="n">
        <v>102</v>
      </c>
      <c r="B103" s="31" t="inlineStr">
        <is>
          <t>Silver Ridge v. Italy</t>
        </is>
      </c>
      <c r="C103" s="31" t="inlineStr">
        <is>
          <t>Silver Ridge Power BV v. Italian Republic (ICSID Case No. ARB/15/37)</t>
        </is>
      </c>
      <c r="D103" s="31" t="inlineStr">
        <is>
          <t>Italy</t>
        </is>
      </c>
      <c r="E103" s="31" t="inlineStr">
        <is>
          <t>Europa Occidental</t>
        </is>
      </c>
      <c r="F103" s="31" t="inlineStr">
        <is>
          <t>Netherlands</t>
        </is>
      </c>
      <c r="G103" s="31" t="n">
        <v>2015</v>
      </c>
      <c r="H103" s="31" t="inlineStr">
        <is>
          <t>No - ganó el Estado</t>
        </is>
      </c>
      <c r="I103" s="31" t="inlineStr">
        <is>
          <t>No</t>
        </is>
      </c>
      <c r="J103" s="31" t="inlineStr"/>
      <c r="K103" s="31" t="inlineStr"/>
      <c r="L103" s="31" t="inlineStr"/>
      <c r="M103" s="31" t="inlineStr">
        <is>
          <t>Tertiary - D - Electricity, gas, steam and air conditioning supply</t>
        </is>
      </c>
      <c r="N103" s="31" t="inlineStr"/>
      <c r="O103" s="31" t="inlineStr">
        <is>
          <t>The Energy Charter Treaty (1994)</t>
        </is>
      </c>
      <c r="P103" s="31" t="inlineStr"/>
      <c r="Q103" s="31" t="inlineStr">
        <is>
          <t>Simma, B. - President; Johnson, O. T. - Claimant; Cremades, B. M. - Respondent</t>
        </is>
      </c>
      <c r="R103" s="31" t="inlineStr"/>
      <c r="S103" s="31" t="inlineStr"/>
      <c r="T103" s="31" t="inlineStr"/>
      <c r="U103" s="31" t="inlineStr">
        <is>
          <t>Not available</t>
        </is>
      </c>
      <c r="V103" s="31" t="inlineStr">
        <is>
          <t>Pendiente</t>
        </is>
      </c>
    </row>
    <row r="104">
      <c r="A104" s="33" t="n">
        <v>103</v>
      </c>
      <c r="B104" s="33" t="inlineStr">
        <is>
          <t>SolEs Badajoz v. Spain</t>
        </is>
      </c>
      <c r="C104" s="33" t="inlineStr">
        <is>
          <t>SolEs Badajoz GmbH v. Kingdom of Spain (ICSID Case No. ARB/15/38)</t>
        </is>
      </c>
      <c r="D104" s="33" t="inlineStr">
        <is>
          <t>Spain</t>
        </is>
      </c>
      <c r="E104" s="33" t="inlineStr">
        <is>
          <t>Europa Occidental</t>
        </is>
      </c>
      <c r="F104" s="33" t="inlineStr">
        <is>
          <t>Germany</t>
        </is>
      </c>
      <c r="G104" s="33" t="n">
        <v>2015</v>
      </c>
      <c r="H104" s="33" t="inlineStr">
        <is>
          <t>Sí con daños</t>
        </is>
      </c>
      <c r="I104" s="33" t="inlineStr">
        <is>
          <t>Sí</t>
        </is>
      </c>
      <c r="J104" s="33" t="inlineStr">
        <is>
          <t>TJE - Trato Justo y Equitativo | Expropiación | Cláusula Paraguas</t>
        </is>
      </c>
      <c r="K104" s="33" t="inlineStr">
        <is>
          <t>95.80 EUR (106.80 USD)</t>
        </is>
      </c>
      <c r="L104" s="33" t="inlineStr">
        <is>
          <t>40.50 EUR (44.90 USD)</t>
        </is>
      </c>
      <c r="M104" s="33" t="inlineStr">
        <is>
          <t>Tertiary - D - Electricity, gas, steam and air conditioning supply</t>
        </is>
      </c>
      <c r="N104" s="33" t="inlineStr">
        <is>
          <t>Medida fiscal/impositiva</t>
        </is>
      </c>
      <c r="O104" s="33" t="inlineStr">
        <is>
          <t>The Energy Charter Treaty (1994)</t>
        </is>
      </c>
      <c r="P104" s="33" t="inlineStr"/>
      <c r="Q104" s="33" t="inlineStr">
        <is>
          <t>Donoghue, J. E. - President; Alexandrov, S. A. - Claimant (replaced); Joubin-Bret, A. - Respondent (replaced); Williams, D. A. R. - Claimant; Sacerdoti, G. - Respondent</t>
        </is>
      </c>
      <c r="R104" s="33" t="inlineStr">
        <is>
          <t>ICSID annulment proceedings</t>
        </is>
      </c>
      <c r="S104" s="33" t="inlineStr">
        <is>
          <t>Award/decision upheld ICSID annulment proceedings</t>
        </is>
      </c>
      <c r="T104" s="33" t="inlineStr">
        <is>
          <t>Inglés</t>
        </is>
      </c>
      <c r="U104" s="33" t="inlineStr">
        <is>
          <t>https://www.italaw.com/cases/7593</t>
        </is>
      </c>
      <c r="V104" s="33" t="inlineStr">
        <is>
          <t>Sí</t>
        </is>
      </c>
    </row>
    <row r="105">
      <c r="A105" s="32" t="n">
        <v>104</v>
      </c>
      <c r="B105" s="32" t="inlineStr">
        <is>
          <t>Stadtwerke München and others v. Spain</t>
        </is>
      </c>
      <c r="C105" s="32" t="inlineStr">
        <is>
          <t>Stadtwerke München GmbH and others v. Kingdom of Spain (ICSID Case No. ARB/15/1)</t>
        </is>
      </c>
      <c r="D105" s="32" t="inlineStr">
        <is>
          <t>Spain</t>
        </is>
      </c>
      <c r="E105" s="32" t="inlineStr">
        <is>
          <t>Europa Occidental</t>
        </is>
      </c>
      <c r="F105" s="32" t="inlineStr">
        <is>
          <t>Germany</t>
        </is>
      </c>
      <c r="G105" s="32" t="n">
        <v>2015</v>
      </c>
      <c r="H105" s="32" t="inlineStr">
        <is>
          <t>No - ganó el Estado</t>
        </is>
      </c>
      <c r="I105" s="32" t="inlineStr">
        <is>
          <t>No</t>
        </is>
      </c>
      <c r="J105" s="32" t="inlineStr">
        <is>
          <t>TJE - Trato Justo y Equitativo</t>
        </is>
      </c>
      <c r="K105" s="32" t="inlineStr">
        <is>
          <t>423.00 EUR (491.40 USD)</t>
        </is>
      </c>
      <c r="L105" s="32" t="inlineStr"/>
      <c r="M105" s="32" t="inlineStr">
        <is>
          <t>Tertiary - D - Electricity, gas, steam and air conditioning supply</t>
        </is>
      </c>
      <c r="N105" s="32" t="inlineStr">
        <is>
          <t>Medida fiscal/impositiva</t>
        </is>
      </c>
      <c r="O105" s="32" t="inlineStr">
        <is>
          <t>The Energy Charter Treaty (1994)</t>
        </is>
      </c>
      <c r="P105" s="32" t="inlineStr"/>
      <c r="Q105" s="32" t="inlineStr">
        <is>
          <t>Hobér, K. - Claimant; Douglas, Z. - Respondent; Salacuse, J. W. - President</t>
        </is>
      </c>
      <c r="R105" s="32" t="inlineStr">
        <is>
          <t>ICSID annulment proceedings</t>
        </is>
      </c>
      <c r="S105" s="32" t="inlineStr">
        <is>
          <t>Pending ICSID annulment proceedings</t>
        </is>
      </c>
      <c r="T105" s="32" t="inlineStr">
        <is>
          <t>Inglés</t>
        </is>
      </c>
      <c r="U105" s="32" t="inlineStr">
        <is>
          <t>https://www.italaw.com/cases/7791</t>
        </is>
      </c>
      <c r="V105" s="32" t="inlineStr">
        <is>
          <t>Sí</t>
        </is>
      </c>
    </row>
    <row r="106">
      <c r="A106" s="33" t="n">
        <v>105</v>
      </c>
      <c r="B106" s="33" t="inlineStr">
        <is>
          <t>STEAG v. Spain</t>
        </is>
      </c>
      <c r="C106" s="33" t="inlineStr">
        <is>
          <t>STEAG GmbH v. Kingdom of Spain (ICSID Case No. ARB/15/4)</t>
        </is>
      </c>
      <c r="D106" s="33" t="inlineStr">
        <is>
          <t>Spain</t>
        </is>
      </c>
      <c r="E106" s="33" t="inlineStr">
        <is>
          <t>Europa Occidental</t>
        </is>
      </c>
      <c r="F106" s="33" t="inlineStr">
        <is>
          <t>Germany</t>
        </is>
      </c>
      <c r="G106" s="33" t="n">
        <v>2015</v>
      </c>
      <c r="H106" s="33" t="inlineStr">
        <is>
          <t>Sí con daños</t>
        </is>
      </c>
      <c r="I106" s="33" t="inlineStr">
        <is>
          <t>Sí</t>
        </is>
      </c>
      <c r="J106" s="33" t="inlineStr">
        <is>
          <t>TJE - Trato Justo y Equitativo</t>
        </is>
      </c>
      <c r="K106" s="33" t="inlineStr">
        <is>
          <t>79.00 EUR (92.90 USD)</t>
        </is>
      </c>
      <c r="L106" s="33" t="inlineStr">
        <is>
          <t>27.70 EUR (32.60 USD)</t>
        </is>
      </c>
      <c r="M106" s="33" t="inlineStr">
        <is>
          <t>Tertiary - D - Electricity, gas, steam and air conditioning supply</t>
        </is>
      </c>
      <c r="N106" s="33" t="inlineStr">
        <is>
          <t>Cambio regulatorio</t>
        </is>
      </c>
      <c r="O106" s="33" t="inlineStr">
        <is>
          <t>The Energy Charter Treaty (1994)</t>
        </is>
      </c>
      <c r="P106" s="33" t="inlineStr"/>
      <c r="Q106" s="33" t="inlineStr">
        <is>
          <t>Tawil, G. S. - Claimant; Dupuy, P.-M. - Respondent; Zuleta, E. - President</t>
        </is>
      </c>
      <c r="R106" s="33" t="inlineStr">
        <is>
          <t>ICSID annulment proceedings</t>
        </is>
      </c>
      <c r="S106" s="33" t="inlineStr">
        <is>
          <t>Pending ICSID annulment proceedings</t>
        </is>
      </c>
      <c r="T106" s="33" t="inlineStr">
        <is>
          <t>Inglés</t>
        </is>
      </c>
      <c r="U106" s="33" t="inlineStr">
        <is>
          <t>https://www.italaw.com/cases/8512</t>
        </is>
      </c>
      <c r="V106" s="33" t="inlineStr">
        <is>
          <t>Sí</t>
        </is>
      </c>
    </row>
    <row r="107">
      <c r="A107" s="33" t="n">
        <v>106</v>
      </c>
      <c r="B107" s="33" t="inlineStr">
        <is>
          <t>Strabag v. Libya</t>
        </is>
      </c>
      <c r="C107" s="33" t="inlineStr">
        <is>
          <t>Strabag SE v. Libya (ICSID Case No. ARB(AF)/15/1)</t>
        </is>
      </c>
      <c r="D107" s="33" t="inlineStr">
        <is>
          <t>Libya</t>
        </is>
      </c>
      <c r="E107" s="33" t="inlineStr">
        <is>
          <t>Medio Oriente/Norte África</t>
        </is>
      </c>
      <c r="F107" s="33" t="inlineStr">
        <is>
          <t>Austria</t>
        </is>
      </c>
      <c r="G107" s="33" t="n">
        <v>2015</v>
      </c>
      <c r="H107" s="33" t="inlineStr">
        <is>
          <t>Sí con daños</t>
        </is>
      </c>
      <c r="I107" s="33" t="inlineStr">
        <is>
          <t>Sí</t>
        </is>
      </c>
      <c r="J107" s="33" t="inlineStr"/>
      <c r="K107" s="33" t="inlineStr">
        <is>
          <t>80.00 USD</t>
        </is>
      </c>
      <c r="L107" s="33" t="inlineStr">
        <is>
          <t>74.90 EUR (84.00 USD)</t>
        </is>
      </c>
      <c r="M107" s="33" t="inlineStr">
        <is>
          <t>Tertiary - F - Construction</t>
        </is>
      </c>
      <c r="N107" s="33" t="inlineStr"/>
      <c r="O107" s="33" t="inlineStr">
        <is>
          <t>Austria - Libya BIT (2002)</t>
        </is>
      </c>
      <c r="P107" s="33" t="inlineStr"/>
      <c r="Q107" s="33" t="inlineStr">
        <is>
          <t>Crivellaro, A. - Claimant; Ziadé, N. - Respondent; Crook, J. R. - President</t>
        </is>
      </c>
      <c r="R107" s="33" t="inlineStr">
        <is>
          <t>Judicial review by national courts</t>
        </is>
      </c>
      <c r="S107" s="33" t="inlineStr">
        <is>
          <t>Award/decision upheld Judicial review by national courts</t>
        </is>
      </c>
      <c r="T107" s="33" t="inlineStr">
        <is>
          <t>Indeterminado</t>
        </is>
      </c>
      <c r="U107" s="33" t="inlineStr">
        <is>
          <t>https://www.italaw.com/cases/8447</t>
        </is>
      </c>
      <c r="V107" s="33" t="inlineStr">
        <is>
          <t>Sí</t>
        </is>
      </c>
    </row>
    <row r="108">
      <c r="A108" s="33" t="n">
        <v>107</v>
      </c>
      <c r="B108" s="33" t="inlineStr">
        <is>
          <t>Watkins and others v. Spain</t>
        </is>
      </c>
      <c r="C108" s="33" t="inlineStr">
        <is>
          <t>Watkins Holdings S.à r.l. and others v. Kingdom of Spain (ICSID Case No. ARB/15/44)</t>
        </is>
      </c>
      <c r="D108" s="33" t="inlineStr">
        <is>
          <t>Spain</t>
        </is>
      </c>
      <c r="E108" s="33" t="inlineStr">
        <is>
          <t>Europa Occidental</t>
        </is>
      </c>
      <c r="F108" s="33" t="inlineStr">
        <is>
          <t>Luxembourg;
Netherlands</t>
        </is>
      </c>
      <c r="G108" s="33" t="n">
        <v>2015</v>
      </c>
      <c r="H108" s="33" t="inlineStr">
        <is>
          <t>Sí con daños</t>
        </is>
      </c>
      <c r="I108" s="33" t="inlineStr">
        <is>
          <t>Sí</t>
        </is>
      </c>
      <c r="J108" s="33" t="inlineStr">
        <is>
          <t>TJE - Trato Justo y Equitativo</t>
        </is>
      </c>
      <c r="K108" s="33" t="inlineStr">
        <is>
          <t>123.90 EUR (137.40 USD)</t>
        </is>
      </c>
      <c r="L108" s="33" t="inlineStr">
        <is>
          <t>77.00 EUR (85.30 USD)</t>
        </is>
      </c>
      <c r="M108" s="33" t="inlineStr">
        <is>
          <t>Tertiary - D - Electricity, gas, steam and air conditioning supply</t>
        </is>
      </c>
      <c r="N108" s="33" t="inlineStr">
        <is>
          <t>Cambio regulatorio</t>
        </is>
      </c>
      <c r="O108" s="33" t="inlineStr">
        <is>
          <t>The Energy Charter Treaty (1994)</t>
        </is>
      </c>
      <c r="P108" s="33" t="inlineStr"/>
      <c r="Q108" s="33" t="inlineStr">
        <is>
          <t>Pryles, M. C. - Claimant; Ruiz Fabri, H. - Respondent; Abraham, C. W. M. - President</t>
        </is>
      </c>
      <c r="R108" s="33" t="inlineStr">
        <is>
          <t>ICSID annulment proceedings</t>
        </is>
      </c>
      <c r="S108" s="33" t="inlineStr">
        <is>
          <t>Award/decision upheld ICSID annulment proceedings</t>
        </is>
      </c>
      <c r="T108" s="33" t="inlineStr">
        <is>
          <t>Inglés</t>
        </is>
      </c>
      <c r="U108" s="33" t="inlineStr">
        <is>
          <t>https://www.italaw.com/cases/3996</t>
        </is>
      </c>
      <c r="V108" s="33" t="inlineStr">
        <is>
          <t>Sí</t>
        </is>
      </c>
    </row>
    <row r="109">
      <c r="A109" s="32" t="n">
        <v>108</v>
      </c>
      <c r="B109" s="32" t="inlineStr">
        <is>
          <t>Alpiq v. Romania</t>
        </is>
      </c>
      <c r="C109" s="32" t="inlineStr">
        <is>
          <t>Alpiq AG v. Romania (ICSID Case No. ARB/14/28)</t>
        </is>
      </c>
      <c r="D109" s="32" t="inlineStr">
        <is>
          <t>Romania</t>
        </is>
      </c>
      <c r="E109" s="32" t="inlineStr">
        <is>
          <t>Europa Occidental</t>
        </is>
      </c>
      <c r="F109" s="32" t="inlineStr">
        <is>
          <t>Switzerland</t>
        </is>
      </c>
      <c r="G109" s="32" t="n">
        <v>2014</v>
      </c>
      <c r="H109" s="32" t="inlineStr">
        <is>
          <t>No - ganó el Estado</t>
        </is>
      </c>
      <c r="I109" s="32" t="inlineStr">
        <is>
          <t>No</t>
        </is>
      </c>
      <c r="J109" s="32" t="inlineStr">
        <is>
          <t>TJE - Trato Justo y Equitativo | Expropiación | NMF - Nación Más Favorecida | Trato Nacional</t>
        </is>
      </c>
      <c r="K109" s="32" t="inlineStr">
        <is>
          <t>450.00 USD</t>
        </is>
      </c>
      <c r="L109" s="32" t="inlineStr"/>
      <c r="M109" s="32" t="inlineStr">
        <is>
          <t>Tertiary - D - Electricity, gas, steam and air conditioning supply</t>
        </is>
      </c>
      <c r="N109" s="32" t="inlineStr"/>
      <c r="O109" s="32" t="inlineStr">
        <is>
          <t>Romania - Switzerland BIT (1993);
The Energy Charter Treaty (1994)</t>
        </is>
      </c>
      <c r="P109" s="32" t="inlineStr"/>
      <c r="Q109" s="32" t="inlineStr">
        <is>
          <t>Sachs, K. - Claimant; Clodfelter, M. A. - Respondent; Silva Romero, E. - President</t>
        </is>
      </c>
      <c r="R109" s="32" t="inlineStr">
        <is>
          <t>ICSID annulment proceedings</t>
        </is>
      </c>
      <c r="S109" s="32" t="inlineStr">
        <is>
          <t>Award/decision upheld ICSID annulment proceedings</t>
        </is>
      </c>
      <c r="T109" s="32" t="inlineStr">
        <is>
          <t>Indeterminado</t>
        </is>
      </c>
      <c r="U109" s="32" t="inlineStr">
        <is>
          <t>https://www.italaw.com/cases/5927</t>
        </is>
      </c>
      <c r="V109" s="32" t="inlineStr">
        <is>
          <t>Sí</t>
        </is>
      </c>
    </row>
    <row r="110">
      <c r="A110" s="32" t="n">
        <v>109</v>
      </c>
      <c r="B110" s="32" t="inlineStr">
        <is>
          <t>Anglo American v. Venezuela</t>
        </is>
      </c>
      <c r="C110" s="32" t="inlineStr">
        <is>
          <t>Anglo American PLC v. Bolivarian Republic of Venezuela (ICSID Case No. ARB(AF)/14/1)</t>
        </is>
      </c>
      <c r="D110" s="32" t="inlineStr">
        <is>
          <t>Venezuela, Bolivarian Republic of</t>
        </is>
      </c>
      <c r="E110" s="32" t="inlineStr">
        <is>
          <t>América del Sur</t>
        </is>
      </c>
      <c r="F110" s="32" t="inlineStr">
        <is>
          <t>United Kingdom</t>
        </is>
      </c>
      <c r="G110" s="32" t="n">
        <v>2014</v>
      </c>
      <c r="H110" s="32" t="inlineStr">
        <is>
          <t>No - ganó el Estado</t>
        </is>
      </c>
      <c r="I110" s="32" t="inlineStr">
        <is>
          <t>No</t>
        </is>
      </c>
      <c r="J110" s="32" t="inlineStr">
        <is>
          <t>TJE - Trato Justo y Equitativo</t>
        </is>
      </c>
      <c r="K110" s="32" t="inlineStr">
        <is>
          <t>600.00 USD</t>
        </is>
      </c>
      <c r="L110" s="32" t="inlineStr"/>
      <c r="M110" s="32" t="inlineStr">
        <is>
          <t>Primary - B - Mining and quarrying</t>
        </is>
      </c>
      <c r="N110" s="32" t="inlineStr"/>
      <c r="O110" s="32" t="inlineStr">
        <is>
          <t>United Kingdom - Venezuela, Bolivarian Republic of BIT (1995)</t>
        </is>
      </c>
      <c r="P110" s="32" t="inlineStr"/>
      <c r="Q110" s="32" t="inlineStr">
        <is>
          <t>Derains, Y. - President; Tawil, G. S. - Claimant; Vinuesa, R. E. - Respondent</t>
        </is>
      </c>
      <c r="R110" s="32" t="inlineStr"/>
      <c r="S110" s="32" t="inlineStr"/>
      <c r="T110" s="32" t="inlineStr">
        <is>
          <t>Indeterminado</t>
        </is>
      </c>
      <c r="U110" s="32" t="inlineStr">
        <is>
          <t>http://www.italaw.com/cases/2513</t>
        </is>
      </c>
      <c r="V110" s="32" t="inlineStr">
        <is>
          <t>Sí</t>
        </is>
      </c>
    </row>
    <row r="111">
      <c r="A111" s="32" t="n">
        <v>110</v>
      </c>
      <c r="B111" s="32" t="inlineStr">
        <is>
          <t>Ansung Housing v. China</t>
        </is>
      </c>
      <c r="C111" s="32" t="inlineStr">
        <is>
          <t>Ansung Housing Co., Ltd. v. People's Republic of China (ICSID Case No. ARB/14/25)</t>
        </is>
      </c>
      <c r="D111" s="32" t="inlineStr">
        <is>
          <t>China</t>
        </is>
      </c>
      <c r="E111" s="32" t="inlineStr">
        <is>
          <t>Asia Sur-Este/Pacífico</t>
        </is>
      </c>
      <c r="F111" s="32" t="inlineStr">
        <is>
          <t>Korea, Republic of</t>
        </is>
      </c>
      <c r="G111" s="32" t="n">
        <v>2014</v>
      </c>
      <c r="H111" s="32" t="inlineStr">
        <is>
          <t>No - ganó el Estado</t>
        </is>
      </c>
      <c r="I111" s="32" t="inlineStr">
        <is>
          <t>No</t>
        </is>
      </c>
      <c r="J111" s="32" t="inlineStr">
        <is>
          <t>NMF - Nación Más Favorecida</t>
        </is>
      </c>
      <c r="K111" s="32" t="inlineStr">
        <is>
          <t>100.00 CNY (16.30 USD)</t>
        </is>
      </c>
      <c r="L111" s="32" t="inlineStr"/>
      <c r="M111" s="32" t="inlineStr">
        <is>
          <t>Tertiary - F - Construction;
Tertiary - L - Real estate activities</t>
        </is>
      </c>
      <c r="N111" s="32" t="inlineStr"/>
      <c r="O111" s="32" t="inlineStr">
        <is>
          <t>China - Korea, Republic of BIT (2007)</t>
        </is>
      </c>
      <c r="P111" s="32" t="inlineStr"/>
      <c r="Q111" s="32" t="inlineStr">
        <is>
          <t>Pryles, M. C. - Claimant; Thomas, J. C. - Respondent (replaced); van den Berg, A. J. - Respondent; Reed, L. - President</t>
        </is>
      </c>
      <c r="R111" s="32" t="inlineStr"/>
      <c r="S111" s="32" t="inlineStr"/>
      <c r="T111" s="32" t="inlineStr">
        <is>
          <t>Inglés</t>
        </is>
      </c>
      <c r="U111" s="32" t="inlineStr">
        <is>
          <t>https://www.italaw.com/cases/5391</t>
        </is>
      </c>
      <c r="V111" s="32" t="inlineStr">
        <is>
          <t>Sí</t>
        </is>
      </c>
    </row>
    <row r="112">
      <c r="A112" s="33" t="n">
        <v>111</v>
      </c>
      <c r="B112" s="33" t="inlineStr">
        <is>
          <t>Bear Creek Mining v. Peru</t>
        </is>
      </c>
      <c r="C112" s="33" t="inlineStr">
        <is>
          <t>Bear Creek Mining Corporation v. Republic of Peru (ICSID Case No. ARB/14/21)</t>
        </is>
      </c>
      <c r="D112" s="33" t="inlineStr">
        <is>
          <t>Peru</t>
        </is>
      </c>
      <c r="E112" s="33" t="inlineStr">
        <is>
          <t>América del Sur</t>
        </is>
      </c>
      <c r="F112" s="33" t="inlineStr">
        <is>
          <t>Canada</t>
        </is>
      </c>
      <c r="G112" s="33" t="n">
        <v>2014</v>
      </c>
      <c r="H112" s="33" t="inlineStr">
        <is>
          <t>Sí con daños</t>
        </is>
      </c>
      <c r="I112" s="33" t="inlineStr">
        <is>
          <t>Sí</t>
        </is>
      </c>
      <c r="J112" s="33" t="inlineStr">
        <is>
          <t>Expropiación</t>
        </is>
      </c>
      <c r="K112" s="33" t="inlineStr">
        <is>
          <t>522.20 USD</t>
        </is>
      </c>
      <c r="L112" s="33" t="inlineStr">
        <is>
          <t>18.20 USD</t>
        </is>
      </c>
      <c r="M112" s="33" t="inlineStr">
        <is>
          <t>Primary - B - Mining and quarrying</t>
        </is>
      </c>
      <c r="N112" s="33" t="inlineStr"/>
      <c r="O112" s="33" t="inlineStr">
        <is>
          <t>Canada - Peru FTA (2008)</t>
        </is>
      </c>
      <c r="P112" s="33" t="inlineStr"/>
      <c r="Q112" s="33" t="inlineStr">
        <is>
          <t>Böckstiegel, K.-H. - President; Pryles, M. C. - Claimant; Sands, P. - Respondent</t>
        </is>
      </c>
      <c r="R112" s="33" t="inlineStr"/>
      <c r="S112" s="33" t="inlineStr"/>
      <c r="T112" s="33" t="inlineStr">
        <is>
          <t>Indeterminado</t>
        </is>
      </c>
      <c r="U112" s="33" t="inlineStr">
        <is>
          <t>http://www.italaw.com/cases/2848</t>
        </is>
      </c>
      <c r="V112" s="33" t="inlineStr">
        <is>
          <t>Sí</t>
        </is>
      </c>
    </row>
    <row r="113">
      <c r="A113" s="32" t="n">
        <v>112</v>
      </c>
      <c r="B113" s="32" t="inlineStr">
        <is>
          <t>Besserglik v. Mozambique</t>
        </is>
      </c>
      <c r="C113" s="32" t="inlineStr">
        <is>
          <t>Oded Besserglik v. Republic of Mozambique (ICSID Case No. ARB(AF)14/2)</t>
        </is>
      </c>
      <c r="D113" s="32" t="inlineStr">
        <is>
          <t>Mozambique</t>
        </is>
      </c>
      <c r="E113" s="32" t="inlineStr">
        <is>
          <t>África Subsahariana</t>
        </is>
      </c>
      <c r="F113" s="32" t="inlineStr">
        <is>
          <t>South Africa</t>
        </is>
      </c>
      <c r="G113" s="32" t="n">
        <v>2014</v>
      </c>
      <c r="H113" s="32" t="inlineStr">
        <is>
          <t>No - ganó el Estado</t>
        </is>
      </c>
      <c r="I113" s="32" t="inlineStr">
        <is>
          <t>No</t>
        </is>
      </c>
      <c r="J113" s="32" t="inlineStr"/>
      <c r="K113" s="32" t="inlineStr">
        <is>
          <t>91.60 USD</t>
        </is>
      </c>
      <c r="L113" s="32" t="inlineStr"/>
      <c r="M113" s="32" t="inlineStr">
        <is>
          <t>Primary - A - Agriculture, forestry and fishing</t>
        </is>
      </c>
      <c r="N113" s="32" t="inlineStr"/>
      <c r="O113" s="32" t="inlineStr">
        <is>
          <t>Mozambique - South Africa BIT (1997)</t>
        </is>
      </c>
      <c r="P113" s="32" t="inlineStr"/>
      <c r="Q113" s="32" t="inlineStr">
        <is>
          <t>Khan, M. A. - President; Fortier, L. Y. - Claimant; von Wobeser, C. - Respondent</t>
        </is>
      </c>
      <c r="R113" s="32" t="inlineStr"/>
      <c r="S113" s="32" t="inlineStr"/>
      <c r="T113" s="32" t="inlineStr">
        <is>
          <t>Inglés</t>
        </is>
      </c>
      <c r="U113" s="32" t="inlineStr">
        <is>
          <t>https://www.italaw.com/cases/7663</t>
        </is>
      </c>
      <c r="V113" s="32" t="inlineStr">
        <is>
          <t>Sí</t>
        </is>
      </c>
    </row>
    <row r="114">
      <c r="A114" s="32" t="n">
        <v>113</v>
      </c>
      <c r="B114" s="32" t="inlineStr">
        <is>
          <t>Blusun v. Italy</t>
        </is>
      </c>
      <c r="C114" s="32" t="inlineStr">
        <is>
          <t>Blusun S.A., Jean-Pierre Lecorcier and Michael Stein v. Italian Republic (ICSID Case No. ARB/14/3)</t>
        </is>
      </c>
      <c r="D114" s="32" t="inlineStr">
        <is>
          <t>Italy</t>
        </is>
      </c>
      <c r="E114" s="32" t="inlineStr">
        <is>
          <t>Europa Occidental</t>
        </is>
      </c>
      <c r="F114" s="32" t="inlineStr">
        <is>
          <t>Belgium;
France;
Germany</t>
        </is>
      </c>
      <c r="G114" s="32" t="n">
        <v>2014</v>
      </c>
      <c r="H114" s="32" t="inlineStr">
        <is>
          <t>No - ganó el Estado</t>
        </is>
      </c>
      <c r="I114" s="32" t="inlineStr">
        <is>
          <t>No</t>
        </is>
      </c>
      <c r="J114" s="32" t="inlineStr">
        <is>
          <t>TJE - Trato Justo y Equitativo | Expropiación</t>
        </is>
      </c>
      <c r="K114" s="32" t="inlineStr">
        <is>
          <t>187.80 EUR (196.30 USD)</t>
        </is>
      </c>
      <c r="L114" s="32" t="inlineStr"/>
      <c r="M114" s="32" t="inlineStr">
        <is>
          <t>Tertiary - D - Electricity, gas, steam and air conditioning supply</t>
        </is>
      </c>
      <c r="N114" s="32" t="inlineStr">
        <is>
          <t>Nacionalización</t>
        </is>
      </c>
      <c r="O114" s="32" t="inlineStr">
        <is>
          <t>The Energy Charter Treaty (1994)</t>
        </is>
      </c>
      <c r="P114" s="32" t="inlineStr"/>
      <c r="Q114" s="32" t="inlineStr">
        <is>
          <t>Crawford, J. R. - President; Alexandrov, S. A. - Claimant; Dupuy, P.-M. - Respondent</t>
        </is>
      </c>
      <c r="R114" s="32" t="inlineStr">
        <is>
          <t>ICSID annulment proceedings</t>
        </is>
      </c>
      <c r="S114" s="32" t="inlineStr">
        <is>
          <t>Award/decision upheld ICSID annulment proceedings</t>
        </is>
      </c>
      <c r="T114" s="32" t="inlineStr">
        <is>
          <t>Inglés</t>
        </is>
      </c>
      <c r="U114" s="32" t="inlineStr">
        <is>
          <t>https://www.italaw.com/cases/5739</t>
        </is>
      </c>
      <c r="V114" s="32" t="inlineStr">
        <is>
          <t>Sí</t>
        </is>
      </c>
    </row>
    <row r="115">
      <c r="A115" s="33" t="n">
        <v>114</v>
      </c>
      <c r="B115" s="33" t="inlineStr">
        <is>
          <t>Casinos Austria v. Argentina</t>
        </is>
      </c>
      <c r="C115" s="33" t="inlineStr">
        <is>
          <t>Casinos Austria International GmbH and Casinos Austria Aktiengesellschaft v. Argentine Republic (ICSID Case No. ARB/14/32)</t>
        </is>
      </c>
      <c r="D115" s="33" t="inlineStr">
        <is>
          <t>Argentina</t>
        </is>
      </c>
      <c r="E115" s="33" t="inlineStr">
        <is>
          <t>América del Sur</t>
        </is>
      </c>
      <c r="F115" s="33" t="inlineStr">
        <is>
          <t>Austria</t>
        </is>
      </c>
      <c r="G115" s="33" t="n">
        <v>2014</v>
      </c>
      <c r="H115" s="33" t="inlineStr">
        <is>
          <t>Sí con daños</t>
        </is>
      </c>
      <c r="I115" s="33" t="inlineStr">
        <is>
          <t>Sí</t>
        </is>
      </c>
      <c r="J115" s="33" t="inlineStr">
        <is>
          <t>TJE - Trato Justo y Equitativo | Expropiación | Trato Nacional</t>
        </is>
      </c>
      <c r="K115" s="33" t="inlineStr">
        <is>
          <t>51.90 USD</t>
        </is>
      </c>
      <c r="L115" s="33" t="inlineStr">
        <is>
          <t>21.70 USD</t>
        </is>
      </c>
      <c r="M115" s="33" t="inlineStr">
        <is>
          <t>Tertiary - R - Arts, entertainment and recreation</t>
        </is>
      </c>
      <c r="N115" s="33" t="inlineStr">
        <is>
          <t>Reducción/renegociación de tarifas</t>
        </is>
      </c>
      <c r="O115" s="33" t="inlineStr">
        <is>
          <t>Argentina - Austria BIT (1992)</t>
        </is>
      </c>
      <c r="P115" s="33" t="inlineStr"/>
      <c r="Q115" s="33" t="inlineStr">
        <is>
          <t>van Houtte, H. - President; Schill, S. - Claimant; Torres Bernárdez, S. - Respondent</t>
        </is>
      </c>
      <c r="R115" s="33" t="inlineStr">
        <is>
          <t>ICSID annulment proceedings</t>
        </is>
      </c>
      <c r="S115" s="33" t="inlineStr">
        <is>
          <t>Pending ICSID annulment proceedings</t>
        </is>
      </c>
      <c r="T115" s="33" t="inlineStr">
        <is>
          <t>Inglés</t>
        </is>
      </c>
      <c r="U115" s="33" t="inlineStr">
        <is>
          <t>https://www.italaw.com/cases/6924</t>
        </is>
      </c>
      <c r="V115" s="33" t="inlineStr">
        <is>
          <t>Sí</t>
        </is>
      </c>
    </row>
    <row r="116">
      <c r="A116" s="32" t="n">
        <v>115</v>
      </c>
      <c r="B116" s="32" t="inlineStr">
        <is>
          <t>CEAC v. Montenegro</t>
        </is>
      </c>
      <c r="C116" s="32" t="inlineStr">
        <is>
          <t>CEAC Holdings Limited v. Montenegro (ICSID Case No. ARB/14/8)</t>
        </is>
      </c>
      <c r="D116" s="32" t="inlineStr">
        <is>
          <t>Montenegro</t>
        </is>
      </c>
      <c r="E116" s="32" t="inlineStr">
        <is>
          <t>Europa Occidental</t>
        </is>
      </c>
      <c r="F116" s="32" t="inlineStr">
        <is>
          <t>Cyprus</t>
        </is>
      </c>
      <c r="G116" s="32" t="n">
        <v>2014</v>
      </c>
      <c r="H116" s="32" t="inlineStr">
        <is>
          <t>No - ganó el Estado</t>
        </is>
      </c>
      <c r="I116" s="32" t="inlineStr">
        <is>
          <t>No</t>
        </is>
      </c>
      <c r="J116" s="32" t="inlineStr">
        <is>
          <t>TJE - Trato Justo y Equitativo | Expropiación | Protección y Seguridad Plenas | Libre Transferencia | NMF - Nación Más Favorecida</t>
        </is>
      </c>
      <c r="K116" s="32" t="inlineStr">
        <is>
          <t>600.00 EUR (832.30 USD)</t>
        </is>
      </c>
      <c r="L116" s="32" t="inlineStr"/>
      <c r="M116" s="32" t="inlineStr">
        <is>
          <t>Secondary - C - Manufacturing</t>
        </is>
      </c>
      <c r="N116" s="32" t="inlineStr"/>
      <c r="O116" s="32" t="inlineStr">
        <is>
          <t>Cyprus - Montenegro BIT (2005)</t>
        </is>
      </c>
      <c r="P116" s="32" t="inlineStr"/>
      <c r="Q116" s="32" t="inlineStr">
        <is>
          <t>Hanotiau, B. - President; Park, W. W. - Claimant; Stern, B. - Respondent</t>
        </is>
      </c>
      <c r="R116" s="32" t="inlineStr">
        <is>
          <t>ICSID annulment proceedings</t>
        </is>
      </c>
      <c r="S116" s="32" t="inlineStr">
        <is>
          <t>Award/decision upheld ICSID annulment proceedings</t>
        </is>
      </c>
      <c r="T116" s="32" t="inlineStr">
        <is>
          <t>Inglés</t>
        </is>
      </c>
      <c r="U116" s="32" t="inlineStr">
        <is>
          <t>http://italaw.com/cases/2463</t>
        </is>
      </c>
      <c r="V116" s="32" t="inlineStr">
        <is>
          <t>Sí</t>
        </is>
      </c>
    </row>
    <row r="117">
      <c r="A117" s="33" t="n">
        <v>116</v>
      </c>
      <c r="B117" s="33" t="inlineStr">
        <is>
          <t>City-State v. Ukraine</t>
        </is>
      </c>
      <c r="C117" s="33" t="inlineStr">
        <is>
          <t>City-State N.V., Praktyka Asset Management Company LLC, Crystal-Invest LLC and Prodiz LLC v. Ukraine (ICSID Case No. ARB/14/9)</t>
        </is>
      </c>
      <c r="D117" s="33" t="inlineStr">
        <is>
          <t>Ukraine</t>
        </is>
      </c>
      <c r="E117" s="33" t="inlineStr">
        <is>
          <t>Este Europa/Asia Central</t>
        </is>
      </c>
      <c r="F117" s="33" t="inlineStr">
        <is>
          <t>Netherlands</t>
        </is>
      </c>
      <c r="G117" s="33" t="n">
        <v>2014</v>
      </c>
      <c r="H117" s="33" t="inlineStr">
        <is>
          <t>Sí con daños</t>
        </is>
      </c>
      <c r="I117" s="33" t="inlineStr">
        <is>
          <t>Sí</t>
        </is>
      </c>
      <c r="J117" s="33" t="inlineStr">
        <is>
          <t>Expropiación</t>
        </is>
      </c>
      <c r="K117" s="33" t="inlineStr"/>
      <c r="L117" s="33" t="inlineStr">
        <is>
          <t>8.90 USD</t>
        </is>
      </c>
      <c r="M117" s="33" t="inlineStr">
        <is>
          <t>Tertiary - K - Financial and insurance activities</t>
        </is>
      </c>
      <c r="N117" s="33" t="inlineStr"/>
      <c r="O117" s="33" t="inlineStr">
        <is>
          <t>Netherlands - Ukraine BIT (1994)</t>
        </is>
      </c>
      <c r="P117" s="33" t="inlineStr"/>
      <c r="Q117" s="33" t="inlineStr">
        <is>
          <t>Lowe, V. - President (replaced); Alexandrov, S. A. - Claimant; Stern, B. - Respondent; Bull, C. - President</t>
        </is>
      </c>
      <c r="R117" s="33" t="inlineStr"/>
      <c r="S117" s="33" t="inlineStr"/>
      <c r="T117" s="33" t="inlineStr">
        <is>
          <t>Inglés</t>
        </is>
      </c>
      <c r="U117" s="33" t="inlineStr">
        <is>
          <t>https://www.italaw.com/cases/8149</t>
        </is>
      </c>
      <c r="V117" s="33" t="inlineStr">
        <is>
          <t>Sí</t>
        </is>
      </c>
    </row>
    <row r="118">
      <c r="A118" s="32" t="n">
        <v>117</v>
      </c>
      <c r="B118" s="32" t="inlineStr">
        <is>
          <t>Corona Materials v. Dominican Republic</t>
        </is>
      </c>
      <c r="C118" s="32" t="inlineStr">
        <is>
          <t>Corona Materials, LLC v. Dominican Republic (ICSID Case No. ARB(AF)/14/3)</t>
        </is>
      </c>
      <c r="D118" s="32" t="inlineStr">
        <is>
          <t>Dominican Republic</t>
        </is>
      </c>
      <c r="E118" s="32" t="inlineStr">
        <is>
          <t>América Central/Caribe</t>
        </is>
      </c>
      <c r="F118" s="32" t="inlineStr">
        <is>
          <t>United States of America</t>
        </is>
      </c>
      <c r="G118" s="32" t="n">
        <v>2014</v>
      </c>
      <c r="H118" s="32" t="inlineStr">
        <is>
          <t>No - ganó el Estado</t>
        </is>
      </c>
      <c r="I118" s="32" t="inlineStr">
        <is>
          <t>No</t>
        </is>
      </c>
      <c r="J118" s="32" t="inlineStr"/>
      <c r="K118" s="32" t="inlineStr">
        <is>
          <t>100.00 USD</t>
        </is>
      </c>
      <c r="L118" s="32" t="inlineStr"/>
      <c r="M118" s="32" t="inlineStr">
        <is>
          <t>Primary - B - Mining and quarrying</t>
        </is>
      </c>
      <c r="N118" s="32" t="inlineStr">
        <is>
          <t>Medida fiscal/impositiva</t>
        </is>
      </c>
      <c r="O118" s="32" t="inlineStr">
        <is>
          <t>CAFTA - DR (2004)</t>
        </is>
      </c>
      <c r="P118" s="32" t="inlineStr"/>
      <c r="Q118" s="32" t="inlineStr">
        <is>
          <t>Mantilla-Serrano, F. - Claimant; Thomas, J. C. - Respondent; Dupuy, P.-M. - President</t>
        </is>
      </c>
      <c r="R118" s="32" t="inlineStr"/>
      <c r="S118" s="32" t="inlineStr"/>
      <c r="T118" s="32" t="inlineStr">
        <is>
          <t>Indeterminado</t>
        </is>
      </c>
      <c r="U118" s="32" t="inlineStr">
        <is>
          <t>http://italaw.com/cases/2690</t>
        </is>
      </c>
      <c r="V118" s="32" t="inlineStr">
        <is>
          <t>Sí</t>
        </is>
      </c>
    </row>
    <row r="119">
      <c r="A119" s="31" t="n">
        <v>118</v>
      </c>
      <c r="B119" s="31" t="inlineStr">
        <is>
          <t>Cyprus Popular Bank v. Greece</t>
        </is>
      </c>
      <c r="C119" s="31" t="inlineStr">
        <is>
          <t>Cyprus Popular Bank Public Co. Ltd. v. Hellenic Republic (ICSID Case No. ARB/14/16)</t>
        </is>
      </c>
      <c r="D119" s="31" t="inlineStr">
        <is>
          <t>Greece</t>
        </is>
      </c>
      <c r="E119" s="31" t="inlineStr">
        <is>
          <t>Europa Occidental</t>
        </is>
      </c>
      <c r="F119" s="31" t="inlineStr">
        <is>
          <t>Cyprus</t>
        </is>
      </c>
      <c r="G119" s="31" t="n">
        <v>2014</v>
      </c>
      <c r="H119" s="31" t="inlineStr">
        <is>
          <t>Sí con daños</t>
        </is>
      </c>
      <c r="I119" s="31" t="inlineStr">
        <is>
          <t>Sí</t>
        </is>
      </c>
      <c r="J119" s="31" t="inlineStr"/>
      <c r="K119" s="31" t="inlineStr">
        <is>
          <t>1000.00 EUR (1360.00 USD)</t>
        </is>
      </c>
      <c r="L119" s="31" t="inlineStr">
        <is>
          <t>34.50 EUR (41.30 USD)</t>
        </is>
      </c>
      <c r="M119" s="31" t="inlineStr">
        <is>
          <t>Tertiary - K - Financial and insurance activities</t>
        </is>
      </c>
      <c r="N119" s="31" t="inlineStr"/>
      <c r="O119" s="31" t="inlineStr">
        <is>
          <t>Cyprus - Greece BIT (1992)</t>
        </is>
      </c>
      <c r="P119" s="31" t="inlineStr"/>
      <c r="Q119" s="31" t="inlineStr">
        <is>
          <t>Fernández-Armesto, J. - President; Sands, P. - Claimant; Sacerdoti, G. - Respondent</t>
        </is>
      </c>
      <c r="R119" s="31" t="inlineStr">
        <is>
          <t>ICSID annulment proceedings</t>
        </is>
      </c>
      <c r="S119" s="31" t="inlineStr">
        <is>
          <t>Award/decision upheld ICSID annulment proceedings</t>
        </is>
      </c>
      <c r="T119" s="31" t="inlineStr"/>
      <c r="U119" s="31" t="inlineStr">
        <is>
          <t>Not available</t>
        </is>
      </c>
      <c r="V119" s="31" t="inlineStr">
        <is>
          <t>Pendiente</t>
        </is>
      </c>
    </row>
    <row r="120">
      <c r="A120" s="32" t="n">
        <v>119</v>
      </c>
      <c r="B120" s="32" t="inlineStr">
        <is>
          <t>EuroGas and Belmont v. Slovakia</t>
        </is>
      </c>
      <c r="C120" s="32" t="inlineStr">
        <is>
          <t>EuroGas Inc. and Belmont Resources Inc. v. Slovak Republic (ICSID Case No. ARB/14/14)</t>
        </is>
      </c>
      <c r="D120" s="32" t="inlineStr">
        <is>
          <t>Slovakia</t>
        </is>
      </c>
      <c r="E120" s="32" t="inlineStr">
        <is>
          <t>Europa Occidental</t>
        </is>
      </c>
      <c r="F120" s="32" t="inlineStr">
        <is>
          <t>Canada;
United States of America</t>
        </is>
      </c>
      <c r="G120" s="32" t="n">
        <v>2014</v>
      </c>
      <c r="H120" s="32" t="inlineStr">
        <is>
          <t>No - ganó el Estado</t>
        </is>
      </c>
      <c r="I120" s="32" t="inlineStr">
        <is>
          <t>No</t>
        </is>
      </c>
      <c r="J120" s="32" t="inlineStr"/>
      <c r="K120" s="32" t="inlineStr">
        <is>
          <t>500.00 EUR (655.00 USD)</t>
        </is>
      </c>
      <c r="L120" s="32" t="inlineStr"/>
      <c r="M120" s="32" t="inlineStr">
        <is>
          <t>Primary - B - Mining and quarrying</t>
        </is>
      </c>
      <c r="N120" s="32" t="inlineStr"/>
      <c r="O120" s="32" t="inlineStr">
        <is>
          <t>Slovakia - United States of America BIT (1991);
Canada - Slovakia BIT (2010)</t>
        </is>
      </c>
      <c r="P120" s="32" t="inlineStr"/>
      <c r="Q120" s="32" t="inlineStr">
        <is>
          <t>Mayer, P. - President; Gaillard, E. - Claimant; Stern, B. - Respondent</t>
        </is>
      </c>
      <c r="R120" s="32" t="inlineStr">
        <is>
          <t>ICSID annulment proceedings</t>
        </is>
      </c>
      <c r="S120" s="32" t="inlineStr">
        <is>
          <t>Discontinued ICSID annulment proceedings</t>
        </is>
      </c>
      <c r="T120" s="32" t="inlineStr">
        <is>
          <t>Indeterminado</t>
        </is>
      </c>
      <c r="U120" s="32" t="inlineStr">
        <is>
          <t>http://www.italaw.com/cases/3210</t>
        </is>
      </c>
      <c r="V120" s="32" t="inlineStr">
        <is>
          <t>Sí</t>
        </is>
      </c>
    </row>
    <row r="121">
      <c r="A121" s="34" t="n">
        <v>120</v>
      </c>
      <c r="B121" s="34" t="inlineStr">
        <is>
          <t>Infinito Gold v. Costa Rica</t>
        </is>
      </c>
      <c r="C121" s="34" t="inlineStr">
        <is>
          <t>Infinito Gold Ltd. v. Republic of Costa Rica (ICSID Case No. ARB/14/5)</t>
        </is>
      </c>
      <c r="D121" s="34" t="inlineStr">
        <is>
          <t>Costa Rica</t>
        </is>
      </c>
      <c r="E121" s="34" t="inlineStr">
        <is>
          <t>América Central/Caribe</t>
        </is>
      </c>
      <c r="F121" s="34" t="inlineStr">
        <is>
          <t>Canada</t>
        </is>
      </c>
      <c r="G121" s="34" t="n">
        <v>2014</v>
      </c>
      <c r="H121" s="34" t="inlineStr">
        <is>
          <t>Sí sin daños</t>
        </is>
      </c>
      <c r="I121" s="34" t="inlineStr">
        <is>
          <t>Sí</t>
        </is>
      </c>
      <c r="J121" s="34" t="inlineStr">
        <is>
          <t>TJE - Trato Justo y Equitativo | Expropiación | Cláusula Paraguas | NMF - Nación Más Favorecida</t>
        </is>
      </c>
      <c r="K121" s="34" t="inlineStr">
        <is>
          <t>93.80 USD</t>
        </is>
      </c>
      <c r="L121" s="34" t="inlineStr"/>
      <c r="M121" s="34" t="inlineStr">
        <is>
          <t>Primary - B - Mining and quarrying</t>
        </is>
      </c>
      <c r="N121" s="34" t="inlineStr"/>
      <c r="O121" s="34" t="inlineStr">
        <is>
          <t>Canada - Costa Rica BIT (1998)</t>
        </is>
      </c>
      <c r="P121" s="34" t="inlineStr"/>
      <c r="Q121" s="34" t="inlineStr">
        <is>
          <t>Kaufmann-Kohler, G. - President; Hanotiau, B. - Claimant; Stern, B. - Respondent</t>
        </is>
      </c>
      <c r="R121" s="34" t="inlineStr">
        <is>
          <t>ICSID annulment proceedings</t>
        </is>
      </c>
      <c r="S121" s="34" t="inlineStr">
        <is>
          <t>Pending ICSID annulment proceedings</t>
        </is>
      </c>
      <c r="T121" s="34" t="inlineStr">
        <is>
          <t>Indeterminado</t>
        </is>
      </c>
      <c r="U121" s="34" t="inlineStr">
        <is>
          <t>http://www.italaw.com/cases/2258</t>
        </is>
      </c>
      <c r="V121" s="34" t="inlineStr">
        <is>
          <t>Sí</t>
        </is>
      </c>
    </row>
    <row r="122">
      <c r="A122" s="33" t="n">
        <v>121</v>
      </c>
      <c r="B122" s="33" t="inlineStr">
        <is>
          <t>InfraRed and others v. Spain</t>
        </is>
      </c>
      <c r="C122" s="33" t="inlineStr">
        <is>
          <t>InfraRed Environmental Infrastructure GP Limited and others v. Kingdom of Spain (ICSID Case No. ARB/14/12)</t>
        </is>
      </c>
      <c r="D122" s="33" t="inlineStr">
        <is>
          <t>Spain</t>
        </is>
      </c>
      <c r="E122" s="33" t="inlineStr">
        <is>
          <t>Europa Occidental</t>
        </is>
      </c>
      <c r="F122" s="33" t="inlineStr">
        <is>
          <t>United Kingdom</t>
        </is>
      </c>
      <c r="G122" s="33" t="n">
        <v>2014</v>
      </c>
      <c r="H122" s="33" t="inlineStr">
        <is>
          <t>Sí con daños</t>
        </is>
      </c>
      <c r="I122" s="33" t="inlineStr">
        <is>
          <t>Sí</t>
        </is>
      </c>
      <c r="J122" s="33" t="inlineStr">
        <is>
          <t>TJE - Trato Justo y Equitativo | Expropiación</t>
        </is>
      </c>
      <c r="K122" s="33" t="inlineStr">
        <is>
          <t>75.70 EUR (83.70 USD)</t>
        </is>
      </c>
      <c r="L122" s="33" t="inlineStr">
        <is>
          <t>28.20 EUR (31.20 USD)</t>
        </is>
      </c>
      <c r="M122" s="33" t="inlineStr">
        <is>
          <t>Tertiary - D - Electricity, gas, steam and air conditioning supply</t>
        </is>
      </c>
      <c r="N122" s="33" t="inlineStr">
        <is>
          <t>Cambio regulatorio</t>
        </is>
      </c>
      <c r="O122" s="33" t="inlineStr">
        <is>
          <t>The Energy Charter Treaty (1994)</t>
        </is>
      </c>
      <c r="P122" s="33" t="inlineStr"/>
      <c r="Q122" s="33" t="inlineStr">
        <is>
          <t>Drymer, S. L. - President; Park, W. W. - Claimant; Dupuy, P.-M. - Respondent</t>
        </is>
      </c>
      <c r="R122" s="33" t="inlineStr">
        <is>
          <t>ICSID annulment proceedings</t>
        </is>
      </c>
      <c r="S122" s="33" t="inlineStr">
        <is>
          <t>Award/decision upheld ICSID annulment proceedings</t>
        </is>
      </c>
      <c r="T122" s="33" t="inlineStr">
        <is>
          <t>Indeterminado</t>
        </is>
      </c>
      <c r="U122" s="33" t="inlineStr">
        <is>
          <t>https://www.italaw.com/cases/8049</t>
        </is>
      </c>
      <c r="V122" s="33" t="inlineStr">
        <is>
          <t>Sí</t>
        </is>
      </c>
    </row>
    <row r="123">
      <c r="A123" s="32" t="n">
        <v>122</v>
      </c>
      <c r="B123" s="32" t="inlineStr">
        <is>
          <t>Krederi v. Ukraine</t>
        </is>
      </c>
      <c r="C123" s="32" t="inlineStr">
        <is>
          <t>Krederi Ltd. v. Ukraine (ICSID Case No. ARB/14/17)</t>
        </is>
      </c>
      <c r="D123" s="32" t="inlineStr">
        <is>
          <t>Ukraine</t>
        </is>
      </c>
      <c r="E123" s="32" t="inlineStr">
        <is>
          <t>Este Europa/Asia Central</t>
        </is>
      </c>
      <c r="F123" s="32" t="inlineStr">
        <is>
          <t>United Kingdom</t>
        </is>
      </c>
      <c r="G123" s="32" t="n">
        <v>2014</v>
      </c>
      <c r="H123" s="32" t="inlineStr">
        <is>
          <t>No - ganó el Estado</t>
        </is>
      </c>
      <c r="I123" s="32" t="inlineStr">
        <is>
          <t>No</t>
        </is>
      </c>
      <c r="J123" s="32" t="inlineStr">
        <is>
          <t>Expropiación | Protección y Seguridad Plenas | NMF - Nación Más Favorecida | Trato Nacional</t>
        </is>
      </c>
      <c r="K123" s="32" t="inlineStr">
        <is>
          <t>137.00 USD</t>
        </is>
      </c>
      <c r="L123" s="32" t="inlineStr"/>
      <c r="M123" s="32" t="inlineStr">
        <is>
          <t>Tertiary - F - Construction;
Tertiary - L - Real estate activities</t>
        </is>
      </c>
      <c r="N123" s="32" t="inlineStr">
        <is>
          <t>Nacionalización</t>
        </is>
      </c>
      <c r="O123" s="32" t="inlineStr">
        <is>
          <t>Ukraine - United Kingdom BIT (1993)</t>
        </is>
      </c>
      <c r="P123" s="32" t="inlineStr"/>
      <c r="Q123" s="32" t="inlineStr">
        <is>
          <t>van den Berg, A. J. - President (replaced); Wirth, M. - Claimant; Griffith, G. - Respondent; Reinisch, A. - President</t>
        </is>
      </c>
      <c r="R123" s="32" t="inlineStr"/>
      <c r="S123" s="32" t="inlineStr"/>
      <c r="T123" s="32" t="inlineStr">
        <is>
          <t>Indeterminado</t>
        </is>
      </c>
      <c r="U123" s="32" t="inlineStr">
        <is>
          <t>https://www.italaw.com/cases/6782</t>
        </is>
      </c>
      <c r="V123" s="32" t="inlineStr">
        <is>
          <t>Sí</t>
        </is>
      </c>
    </row>
    <row r="124">
      <c r="A124" s="33" t="n">
        <v>123</v>
      </c>
      <c r="B124" s="33" t="inlineStr">
        <is>
          <t>Masdar v. Spain</t>
        </is>
      </c>
      <c r="C124" s="33" t="inlineStr">
        <is>
          <t>Masdar Solar &amp; Wind Cooperatief U.A. v. Kingdom of Spain (ICSID Case No. ARB/14/1)</t>
        </is>
      </c>
      <c r="D124" s="33" t="inlineStr">
        <is>
          <t>Spain</t>
        </is>
      </c>
      <c r="E124" s="33" t="inlineStr">
        <is>
          <t>Europa Occidental</t>
        </is>
      </c>
      <c r="F124" s="33" t="inlineStr">
        <is>
          <t>Netherlands</t>
        </is>
      </c>
      <c r="G124" s="33" t="n">
        <v>2014</v>
      </c>
      <c r="H124" s="33" t="inlineStr">
        <is>
          <t>Sí con daños</t>
        </is>
      </c>
      <c r="I124" s="33" t="inlineStr">
        <is>
          <t>Sí</t>
        </is>
      </c>
      <c r="J124" s="33" t="inlineStr">
        <is>
          <t>TJE - Trato Justo y Equitativo</t>
        </is>
      </c>
      <c r="K124" s="33" t="inlineStr">
        <is>
          <t>250.00 EUR (297.00 USD)</t>
        </is>
      </c>
      <c r="L124" s="33" t="inlineStr">
        <is>
          <t>64.50 EUR (76.70 USD)</t>
        </is>
      </c>
      <c r="M124" s="33" t="inlineStr">
        <is>
          <t>Tertiary - D - Electricity, gas, steam and air conditioning supply</t>
        </is>
      </c>
      <c r="N124" s="33" t="inlineStr"/>
      <c r="O124" s="33" t="inlineStr">
        <is>
          <t>The Energy Charter Treaty (1994)</t>
        </is>
      </c>
      <c r="P124" s="33" t="inlineStr"/>
      <c r="Q124" s="33" t="inlineStr">
        <is>
          <t>Beechey, J. - President; Born, G. B. - Claimant; Stern, B. - Respondent</t>
        </is>
      </c>
      <c r="R124" s="33" t="inlineStr">
        <is>
          <t>ICSID annulment proceedings</t>
        </is>
      </c>
      <c r="S124" s="33" t="inlineStr">
        <is>
          <t>Discontinued ICSID annulment proceedings</t>
        </is>
      </c>
      <c r="T124" s="33" t="inlineStr">
        <is>
          <t>Inglés</t>
        </is>
      </c>
      <c r="U124" s="33" t="inlineStr">
        <is>
          <t>https://www.italaw.com/cases/6608</t>
        </is>
      </c>
      <c r="V124" s="33" t="inlineStr">
        <is>
          <t>Sí</t>
        </is>
      </c>
    </row>
    <row r="125">
      <c r="A125" s="32" t="n">
        <v>124</v>
      </c>
      <c r="B125" s="32" t="inlineStr">
        <is>
          <t>Micula v. Romania (II)</t>
        </is>
      </c>
      <c r="C125" s="32" t="inlineStr">
        <is>
          <t>Ioan Micula, Viorel Micula and others v. Romania (II) (ICSID Case No. ARB/14/29)</t>
        </is>
      </c>
      <c r="D125" s="32" t="inlineStr">
        <is>
          <t>Romania</t>
        </is>
      </c>
      <c r="E125" s="32" t="inlineStr">
        <is>
          <t>Europa Occidental</t>
        </is>
      </c>
      <c r="F125" s="32" t="inlineStr">
        <is>
          <t>Sweden</t>
        </is>
      </c>
      <c r="G125" s="32" t="n">
        <v>2014</v>
      </c>
      <c r="H125" s="32" t="inlineStr">
        <is>
          <t>No - ganó el Estado</t>
        </is>
      </c>
      <c r="I125" s="32" t="inlineStr">
        <is>
          <t>No</t>
        </is>
      </c>
      <c r="J125" s="32" t="inlineStr">
        <is>
          <t>TJE - Trato Justo y Equitativo | Protección y Seguridad Plenas | Cláusula Paraguas</t>
        </is>
      </c>
      <c r="K125" s="32" t="inlineStr">
        <is>
          <t>9121.80 RON (2112.80 USD)</t>
        </is>
      </c>
      <c r="L125" s="32" t="inlineStr"/>
      <c r="M125" s="32" t="inlineStr">
        <is>
          <t>Secondary - C - Manufacturing</t>
        </is>
      </c>
      <c r="N125" s="32" t="inlineStr">
        <is>
          <t>Cambio regulatorio</t>
        </is>
      </c>
      <c r="O125" s="32" t="inlineStr">
        <is>
          <t>Romania - Sweden BIT (2002)</t>
        </is>
      </c>
      <c r="P125" s="32" t="inlineStr"/>
      <c r="Q125" s="32" t="inlineStr">
        <is>
          <t>McRae, D. M. - President; Pryles, M. C. - Claimant (replaced); Crook, J. R. - Respondent; Beechey, J. - Claimant</t>
        </is>
      </c>
      <c r="R125" s="32" t="inlineStr">
        <is>
          <t>ICSID annulment proceedings</t>
        </is>
      </c>
      <c r="S125" s="32" t="inlineStr">
        <is>
          <t>Award/decision upheld ICSID annulment proceedings</t>
        </is>
      </c>
      <c r="T125" s="32" t="inlineStr">
        <is>
          <t>Indeterminado</t>
        </is>
      </c>
      <c r="U125" s="32" t="inlineStr">
        <is>
          <t>https://www.italaw.com/cases/7982</t>
        </is>
      </c>
      <c r="V125" s="32" t="inlineStr">
        <is>
          <t>Sí</t>
        </is>
      </c>
    </row>
    <row r="126">
      <c r="A126" s="33" t="n">
        <v>125</v>
      </c>
      <c r="B126" s="33" t="inlineStr">
        <is>
          <t>NextEra v. Spain</t>
        </is>
      </c>
      <c r="C126" s="33" t="inlineStr">
        <is>
          <t>NextEra Energy Global Holdings B.V. and NextEra Energy Spain Holdings B.V. v. Kingdom of Spain (ICSID Case No. ARB/14/11)</t>
        </is>
      </c>
      <c r="D126" s="33" t="inlineStr">
        <is>
          <t>Spain</t>
        </is>
      </c>
      <c r="E126" s="33" t="inlineStr">
        <is>
          <t>Europa Occidental</t>
        </is>
      </c>
      <c r="F126" s="33" t="inlineStr">
        <is>
          <t>Netherlands</t>
        </is>
      </c>
      <c r="G126" s="33" t="n">
        <v>2014</v>
      </c>
      <c r="H126" s="33" t="inlineStr">
        <is>
          <t>Sí con daños</t>
        </is>
      </c>
      <c r="I126" s="33" t="inlineStr">
        <is>
          <t>Sí</t>
        </is>
      </c>
      <c r="J126" s="33" t="inlineStr">
        <is>
          <t>TJE - Trato Justo y Equitativo</t>
        </is>
      </c>
      <c r="K126" s="33" t="inlineStr">
        <is>
          <t>521.40 EUR (586.00 USD)</t>
        </is>
      </c>
      <c r="L126" s="33" t="inlineStr">
        <is>
          <t>290.60 EUR (323.60 USD)</t>
        </is>
      </c>
      <c r="M126" s="33" t="inlineStr">
        <is>
          <t>Tertiary - D - Electricity, gas, steam and air conditioning supply</t>
        </is>
      </c>
      <c r="N126" s="33" t="inlineStr"/>
      <c r="O126" s="33" t="inlineStr">
        <is>
          <t>The Energy Charter Treaty (1994)</t>
        </is>
      </c>
      <c r="P126" s="33" t="inlineStr"/>
      <c r="Q126" s="33" t="inlineStr">
        <is>
          <t>McRae, D. M. - President; Fortier, L. Y. - Claimant; Boisson de Chazournes, L. - Respondent</t>
        </is>
      </c>
      <c r="R126" s="33" t="inlineStr">
        <is>
          <t>ICSID annulment proceedings</t>
        </is>
      </c>
      <c r="S126" s="33" t="inlineStr">
        <is>
          <t>Award/decision upheld ICSID annulment proceedings</t>
        </is>
      </c>
      <c r="T126" s="33" t="inlineStr">
        <is>
          <t>Inglés</t>
        </is>
      </c>
      <c r="U126" s="33" t="inlineStr">
        <is>
          <t>http://italaw.com/cases/2585</t>
        </is>
      </c>
      <c r="V126" s="33" t="inlineStr">
        <is>
          <t>Sí</t>
        </is>
      </c>
    </row>
    <row r="127">
      <c r="A127" s="33" t="n">
        <v>126</v>
      </c>
      <c r="B127" s="33" t="inlineStr">
        <is>
          <t>RENERGY v. Spain</t>
        </is>
      </c>
      <c r="C127" s="33" t="inlineStr">
        <is>
          <t>RENERGY S.à r.l. v. Kingdom of Spain (ICSID Case No. ARB/14/18)</t>
        </is>
      </c>
      <c r="D127" s="33" t="inlineStr">
        <is>
          <t>Spain</t>
        </is>
      </c>
      <c r="E127" s="33" t="inlineStr">
        <is>
          <t>Europa Occidental</t>
        </is>
      </c>
      <c r="F127" s="33" t="inlineStr">
        <is>
          <t>Luxembourg</t>
        </is>
      </c>
      <c r="G127" s="33" t="n">
        <v>2014</v>
      </c>
      <c r="H127" s="33" t="inlineStr">
        <is>
          <t>Sí con daños</t>
        </is>
      </c>
      <c r="I127" s="33" t="inlineStr">
        <is>
          <t>Sí</t>
        </is>
      </c>
      <c r="J127" s="33" t="inlineStr">
        <is>
          <t>TJE - Trato Justo y Equitativo</t>
        </is>
      </c>
      <c r="K127" s="33" t="inlineStr">
        <is>
          <t>151.00 EUR (159.60 USD)</t>
        </is>
      </c>
      <c r="L127" s="33" t="inlineStr">
        <is>
          <t>32.90 EUR (34.80 USD)</t>
        </is>
      </c>
      <c r="M127" s="33" t="inlineStr">
        <is>
          <t>Tertiary - D - Electricity, gas, steam and air conditioning supply</t>
        </is>
      </c>
      <c r="N127" s="33" t="inlineStr">
        <is>
          <t>Cambio regulatorio</t>
        </is>
      </c>
      <c r="O127" s="33" t="inlineStr">
        <is>
          <t>The Energy Charter Treaty (1994)</t>
        </is>
      </c>
      <c r="P127" s="33" t="inlineStr"/>
      <c r="Q127" s="33" t="inlineStr">
        <is>
          <t>Simma, B. - President; Schreuer, C. H. - Claimant; Sands, P. - Respondent</t>
        </is>
      </c>
      <c r="R127" s="33" t="inlineStr">
        <is>
          <t>ICSID annulment proceedings</t>
        </is>
      </c>
      <c r="S127" s="33" t="inlineStr">
        <is>
          <t>Pending ICSID annulment proceedings</t>
        </is>
      </c>
      <c r="T127" s="33" t="inlineStr">
        <is>
          <t>Indeterminado</t>
        </is>
      </c>
      <c r="U127" s="33" t="inlineStr">
        <is>
          <t>https://www.italaw.com/cases/9415</t>
        </is>
      </c>
      <c r="V127" s="33" t="inlineStr">
        <is>
          <t>Sí</t>
        </is>
      </c>
    </row>
    <row r="128">
      <c r="A128" s="33" t="n">
        <v>127</v>
      </c>
      <c r="B128" s="33" t="inlineStr">
        <is>
          <t>RWE Innogy v. Spain</t>
        </is>
      </c>
      <c r="C128" s="33" t="inlineStr">
        <is>
          <t>RWE Innogy GmbH and RWE Innogy Aersa S.A.U. v. Kingdom of Spain (ICSID Case No. ARB/14/34)</t>
        </is>
      </c>
      <c r="D128" s="33" t="inlineStr">
        <is>
          <t>Spain</t>
        </is>
      </c>
      <c r="E128" s="33" t="inlineStr">
        <is>
          <t>Europa Occidental</t>
        </is>
      </c>
      <c r="F128" s="33" t="inlineStr">
        <is>
          <t>Germany</t>
        </is>
      </c>
      <c r="G128" s="33" t="n">
        <v>2014</v>
      </c>
      <c r="H128" s="33" t="inlineStr">
        <is>
          <t>Sí con daños</t>
        </is>
      </c>
      <c r="I128" s="33" t="inlineStr">
        <is>
          <t>Sí</t>
        </is>
      </c>
      <c r="J128" s="33" t="inlineStr">
        <is>
          <t>TJE - Trato Justo y Equitativo</t>
        </is>
      </c>
      <c r="K128" s="33" t="inlineStr">
        <is>
          <t>273.00 EUR (317.10 USD)</t>
        </is>
      </c>
      <c r="L128" s="33" t="inlineStr">
        <is>
          <t>28.10 EUR (34.40 USD)</t>
        </is>
      </c>
      <c r="M128" s="33" t="inlineStr">
        <is>
          <t>Tertiary - D - Electricity, gas, steam and air conditioning supply</t>
        </is>
      </c>
      <c r="N128" s="33" t="inlineStr">
        <is>
          <t>Medida fiscal/impositiva</t>
        </is>
      </c>
      <c r="O128" s="33" t="inlineStr">
        <is>
          <t>The Energy Charter Treaty (1994)</t>
        </is>
      </c>
      <c r="P128" s="33" t="inlineStr"/>
      <c r="Q128" s="33" t="inlineStr">
        <is>
          <t>Kessler, J. L. - Claimant; Wordsworth, S. - President; Joubin-Bret, A. - Respondent</t>
        </is>
      </c>
      <c r="R128" s="33" t="inlineStr">
        <is>
          <t>ICSID annulment proceedings</t>
        </is>
      </c>
      <c r="S128" s="33" t="inlineStr">
        <is>
          <t>Pending ICSID annulment proceedings</t>
        </is>
      </c>
      <c r="T128" s="33" t="inlineStr">
        <is>
          <t>Inglés</t>
        </is>
      </c>
      <c r="U128" s="33" t="inlineStr">
        <is>
          <t>https://www.italaw.com/cases/7743</t>
        </is>
      </c>
      <c r="V128" s="33" t="inlineStr">
        <is>
          <t>Sí</t>
        </is>
      </c>
    </row>
    <row r="129">
      <c r="A129" s="33" t="n">
        <v>128</v>
      </c>
      <c r="B129" s="33" t="inlineStr">
        <is>
          <t>Sodexo Pass v. Hungary</t>
        </is>
      </c>
      <c r="C129" s="33" t="inlineStr">
        <is>
          <t>Sodexo Pass International SAS v. Hungary (ICSID Case No. ARB/14/20)</t>
        </is>
      </c>
      <c r="D129" s="33" t="inlineStr">
        <is>
          <t>Hungary</t>
        </is>
      </c>
      <c r="E129" s="33" t="inlineStr">
        <is>
          <t>Europa Occidental</t>
        </is>
      </c>
      <c r="F129" s="33" t="inlineStr">
        <is>
          <t>France</t>
        </is>
      </c>
      <c r="G129" s="33" t="n">
        <v>2014</v>
      </c>
      <c r="H129" s="33" t="inlineStr">
        <is>
          <t>Sí con daños</t>
        </is>
      </c>
      <c r="I129" s="33" t="inlineStr">
        <is>
          <t>Sí</t>
        </is>
      </c>
      <c r="J129" s="33" t="inlineStr">
        <is>
          <t>Expropiación</t>
        </is>
      </c>
      <c r="K129" s="33" t="inlineStr">
        <is>
          <t>78.20 EUR (89.20 USD)</t>
        </is>
      </c>
      <c r="L129" s="33" t="inlineStr">
        <is>
          <t>72.80 EUR (83.20 USD)</t>
        </is>
      </c>
      <c r="M129" s="33" t="inlineStr">
        <is>
          <t>Tertiary - N - Administrative and support service activities</t>
        </is>
      </c>
      <c r="N129" s="33" t="inlineStr">
        <is>
          <t>Nacionalización</t>
        </is>
      </c>
      <c r="O129" s="33" t="inlineStr">
        <is>
          <t>France - Hungary BIT (1986)</t>
        </is>
      </c>
      <c r="P129" s="33" t="inlineStr"/>
      <c r="Q129" s="33" t="inlineStr">
        <is>
          <t>Park, W. W. - President; Carlevaris, A. - Claimant; Thomas, J. C. - Respondent</t>
        </is>
      </c>
      <c r="R129" s="33" t="inlineStr">
        <is>
          <t>ICSID annulment proceedings</t>
        </is>
      </c>
      <c r="S129" s="33" t="inlineStr">
        <is>
          <t>Award/decision upheld ICSID annulment proceedings</t>
        </is>
      </c>
      <c r="T129" s="33" t="inlineStr">
        <is>
          <t>Indeterminado</t>
        </is>
      </c>
      <c r="U129" s="33" t="inlineStr">
        <is>
          <t>https://www.italaw.com/cases/6976</t>
        </is>
      </c>
      <c r="V129" s="33" t="inlineStr">
        <is>
          <t>Sí</t>
        </is>
      </c>
    </row>
    <row r="130">
      <c r="A130" s="33" t="n">
        <v>129</v>
      </c>
      <c r="B130" s="33" t="inlineStr">
        <is>
          <t>Unión Fenosa v. Egypt</t>
        </is>
      </c>
      <c r="C130" s="33" t="inlineStr">
        <is>
          <t>Unión Fenosa Gas, S.A. v. Arab Republic of Egypt (ICSID Case No. ARB/14/4)</t>
        </is>
      </c>
      <c r="D130" s="33" t="inlineStr">
        <is>
          <t>Egypt</t>
        </is>
      </c>
      <c r="E130" s="33" t="inlineStr">
        <is>
          <t>Medio Oriente/Norte África</t>
        </is>
      </c>
      <c r="F130" s="33" t="inlineStr">
        <is>
          <t>Spain</t>
        </is>
      </c>
      <c r="G130" s="33" t="n">
        <v>2014</v>
      </c>
      <c r="H130" s="33" t="inlineStr">
        <is>
          <t>Sí con daños</t>
        </is>
      </c>
      <c r="I130" s="33" t="inlineStr">
        <is>
          <t>Sí</t>
        </is>
      </c>
      <c r="J130" s="33" t="inlineStr"/>
      <c r="K130" s="33" t="inlineStr">
        <is>
          <t>3219.50 USD</t>
        </is>
      </c>
      <c r="L130" s="33" t="inlineStr">
        <is>
          <t>2013.10 USD</t>
        </is>
      </c>
      <c r="M130" s="33" t="inlineStr">
        <is>
          <t>Primary - B - Mining and quarrying</t>
        </is>
      </c>
      <c r="N130" s="33" t="inlineStr"/>
      <c r="O130" s="33" t="inlineStr">
        <is>
          <t>Egypt - Spain BIT (1992)</t>
        </is>
      </c>
      <c r="P130" s="33" t="inlineStr"/>
      <c r="Q130" s="33" t="inlineStr">
        <is>
          <t>Veeder, V. V. - President; Rowley, J. W. - Claimant; Clodfelter, M. A. - Respondent</t>
        </is>
      </c>
      <c r="R130" s="33" t="inlineStr">
        <is>
          <t>ICSID annulment proceedings</t>
        </is>
      </c>
      <c r="S130" s="33" t="inlineStr">
        <is>
          <t>Pending ICSID annulment proceedings</t>
        </is>
      </c>
      <c r="T130" s="33" t="inlineStr">
        <is>
          <t>Inglés</t>
        </is>
      </c>
      <c r="U130" s="33" t="inlineStr">
        <is>
          <t>http://www.italaw.com/cases/2456</t>
        </is>
      </c>
      <c r="V130" s="33" t="inlineStr">
        <is>
          <t>Sí</t>
        </is>
      </c>
    </row>
    <row r="131">
      <c r="A131" s="32" t="n">
        <v>130</v>
      </c>
      <c r="B131" s="32" t="inlineStr">
        <is>
          <t>United Utilities v. Estonia</t>
        </is>
      </c>
      <c r="C131" s="32" t="inlineStr">
        <is>
          <t>United Utilities (Tallinn) B.V. and Aktsiaselts Tallinna Vesi v. Republic of Estonia (ICSID Case No. ARB/14/24)</t>
        </is>
      </c>
      <c r="D131" s="32" t="inlineStr">
        <is>
          <t>Estonia</t>
        </is>
      </c>
      <c r="E131" s="32" t="inlineStr">
        <is>
          <t>Europa Occidental</t>
        </is>
      </c>
      <c r="F131" s="32" t="inlineStr">
        <is>
          <t>Netherlands</t>
        </is>
      </c>
      <c r="G131" s="32" t="n">
        <v>2014</v>
      </c>
      <c r="H131" s="32" t="inlineStr">
        <is>
          <t>No - ganó el Estado</t>
        </is>
      </c>
      <c r="I131" s="32" t="inlineStr">
        <is>
          <t>No</t>
        </is>
      </c>
      <c r="J131" s="32" t="inlineStr">
        <is>
          <t>TJE - Trato Justo y Equitativo</t>
        </is>
      </c>
      <c r="K131" s="32" t="inlineStr">
        <is>
          <t>65.00 EUR (73.30 USD)</t>
        </is>
      </c>
      <c r="L131" s="32" t="inlineStr"/>
      <c r="M131" s="32" t="inlineStr">
        <is>
          <t>Tertiary - E - Water supply; sewerage, waste management and remediation activities</t>
        </is>
      </c>
      <c r="N131" s="32" t="inlineStr">
        <is>
          <t>Cambio regulatorio | Reducción/renegociación de tarifas</t>
        </is>
      </c>
      <c r="O131" s="32" t="inlineStr">
        <is>
          <t>Estonia - Netherlands BIT (1992)</t>
        </is>
      </c>
      <c r="P131" s="32" t="inlineStr">
        <is>
          <t>50.4% stake</t>
        </is>
      </c>
      <c r="Q131" s="32" t="inlineStr">
        <is>
          <t>Drymer, S. L. - President; Williams, D. A. R. - Claimant; Stern, B. - Respondent</t>
        </is>
      </c>
      <c r="R131" s="32" t="inlineStr"/>
      <c r="S131" s="32" t="inlineStr"/>
      <c r="T131" s="32" t="inlineStr">
        <is>
          <t>Inglés</t>
        </is>
      </c>
      <c r="U131" s="32" t="inlineStr">
        <is>
          <t>https://www.italaw.com/cases/3147</t>
        </is>
      </c>
      <c r="V131" s="32" t="inlineStr">
        <is>
          <t>Sí</t>
        </is>
      </c>
    </row>
    <row r="132">
      <c r="A132" s="33" t="n">
        <v>131</v>
      </c>
      <c r="B132" s="33" t="inlineStr">
        <is>
          <t>Zelena v. Serbia</t>
        </is>
      </c>
      <c r="C132" s="33" t="inlineStr">
        <is>
          <t>Zelena N.V. and Energo-Zelena d.o.o Inđija v. Republic of Serbia (ICSID Case No. ARB/14/27)</t>
        </is>
      </c>
      <c r="D132" s="33" t="inlineStr">
        <is>
          <t>Serbia</t>
        </is>
      </c>
      <c r="E132" s="33" t="inlineStr">
        <is>
          <t>Europa Occidental</t>
        </is>
      </c>
      <c r="F132" s="33" t="inlineStr">
        <is>
          <t>Belgium</t>
        </is>
      </c>
      <c r="G132" s="33" t="n">
        <v>2014</v>
      </c>
      <c r="H132" s="33" t="inlineStr">
        <is>
          <t>Sí con daños</t>
        </is>
      </c>
      <c r="I132" s="33" t="inlineStr">
        <is>
          <t>Sí</t>
        </is>
      </c>
      <c r="J132" s="33" t="inlineStr">
        <is>
          <t>TJE - Trato Justo y Equitativo | Expropiación | Libre Transferencia | NMF - Nación Más Favorecida | Trato Nacional</t>
        </is>
      </c>
      <c r="K132" s="33" t="inlineStr"/>
      <c r="L132" s="33" t="inlineStr"/>
      <c r="M132" s="33" t="inlineStr">
        <is>
          <t>Tertiary - E - Water supply; sewerage, waste management and remediation activities</t>
        </is>
      </c>
      <c r="N132" s="33" t="inlineStr">
        <is>
          <t>Nacionalización</t>
        </is>
      </c>
      <c r="O132" s="33" t="inlineStr">
        <is>
          <t>BLEU (Belgium-Luxembourg Economic Union) - Serbia BIT (2004)</t>
        </is>
      </c>
      <c r="P132" s="33" t="inlineStr"/>
      <c r="Q132" s="33" t="inlineStr">
        <is>
          <t>Simma, B. - President; Böckstiegel, K.-H. - Claimant; Lowe, V. - Respondent</t>
        </is>
      </c>
      <c r="R132" s="33" t="inlineStr"/>
      <c r="S132" s="33" t="inlineStr"/>
      <c r="T132" s="33" t="inlineStr">
        <is>
          <t>Indeterminado</t>
        </is>
      </c>
      <c r="U132" s="33" t="inlineStr">
        <is>
          <t>https://www.italaw.com/cases/6953</t>
        </is>
      </c>
      <c r="V132" s="33" t="inlineStr">
        <is>
          <t>Sí</t>
        </is>
      </c>
    </row>
    <row r="133">
      <c r="A133" s="32" t="n">
        <v>132</v>
      </c>
      <c r="B133" s="32" t="inlineStr">
        <is>
          <t>Alghanim v. Jordan</t>
        </is>
      </c>
      <c r="C133" s="32" t="inlineStr">
        <is>
          <t>Fouad Alghanim &amp; Sons Co. for General Trading &amp; Contracting, W.L.L. and Mr. Fouad Mohammed Thunyan Alghanim v. Hashemite Kingdom of Jordan (ICSID Case No. ARB/13/38)</t>
        </is>
      </c>
      <c r="D133" s="32" t="inlineStr">
        <is>
          <t>Jordan</t>
        </is>
      </c>
      <c r="E133" s="32" t="inlineStr">
        <is>
          <t>Medio Oriente/Norte África</t>
        </is>
      </c>
      <c r="F133" s="32" t="inlineStr">
        <is>
          <t>Kuwait</t>
        </is>
      </c>
      <c r="G133" s="32" t="n">
        <v>2013</v>
      </c>
      <c r="H133" s="32" t="inlineStr">
        <is>
          <t>No - ganó el Estado</t>
        </is>
      </c>
      <c r="I133" s="32" t="inlineStr">
        <is>
          <t>No</t>
        </is>
      </c>
      <c r="J133" s="32" t="inlineStr"/>
      <c r="K133" s="32" t="inlineStr">
        <is>
          <t>81.00 USD</t>
        </is>
      </c>
      <c r="L133" s="32" t="inlineStr"/>
      <c r="M133" s="32" t="inlineStr">
        <is>
          <t>Tertiary - J - Information and communication</t>
        </is>
      </c>
      <c r="N133" s="32" t="inlineStr">
        <is>
          <t>Medida fiscal</t>
        </is>
      </c>
      <c r="O133" s="32" t="inlineStr">
        <is>
          <t>Jordan - Kuwait BIT (2001)</t>
        </is>
      </c>
      <c r="P133" s="32" t="inlineStr"/>
      <c r="Q133" s="32" t="inlineStr">
        <is>
          <t>McLachlan, C. A. - President; Fortier, L. Y. - Claimant; Kohen, M. G. - Respondent</t>
        </is>
      </c>
      <c r="R133" s="32" t="inlineStr">
        <is>
          <t>ICSID annulment proceedings</t>
        </is>
      </c>
      <c r="S133" s="32" t="inlineStr">
        <is>
          <t>Award/decision upheld ICSID annulment proceedings</t>
        </is>
      </c>
      <c r="T133" s="32" t="inlineStr">
        <is>
          <t>Indeterminado</t>
        </is>
      </c>
      <c r="U133" s="32" t="inlineStr">
        <is>
          <t>https://www.italaw.com/cases/6361</t>
        </is>
      </c>
      <c r="V133" s="32" t="inlineStr">
        <is>
          <t>Sí</t>
        </is>
      </c>
    </row>
    <row r="134">
      <c r="A134" s="34" t="n">
        <v>133</v>
      </c>
      <c r="B134" s="34" t="inlineStr">
        <is>
          <t>Cementos La Union v. Egypt</t>
        </is>
      </c>
      <c r="C134" s="34" t="inlineStr">
        <is>
          <t>Cementos La Union S.A. and Aridos Jativa S.L.U v. Arab Republic of Egypt (ICSID Case No. ARB/13/29)</t>
        </is>
      </c>
      <c r="D134" s="34" t="inlineStr">
        <is>
          <t>Egypt</t>
        </is>
      </c>
      <c r="E134" s="34" t="inlineStr">
        <is>
          <t>Medio Oriente/Norte África</t>
        </is>
      </c>
      <c r="F134" s="34" t="inlineStr">
        <is>
          <t>Spain</t>
        </is>
      </c>
      <c r="G134" s="34" t="n">
        <v>2013</v>
      </c>
      <c r="H134" s="34" t="inlineStr">
        <is>
          <t>Sí sin daños</t>
        </is>
      </c>
      <c r="I134" s="34" t="inlineStr">
        <is>
          <t>Sí</t>
        </is>
      </c>
      <c r="J134" s="34" t="inlineStr">
        <is>
          <t>TJE - Trato Justo y Equitativo</t>
        </is>
      </c>
      <c r="K134" s="34" t="inlineStr"/>
      <c r="L134" s="34" t="inlineStr"/>
      <c r="M134" s="34" t="inlineStr">
        <is>
          <t>Secondary - C - Manufacturing</t>
        </is>
      </c>
      <c r="N134" s="34" t="inlineStr">
        <is>
          <t>Denegación de permiso</t>
        </is>
      </c>
      <c r="O134" s="34" t="inlineStr">
        <is>
          <t>Egypt - Spain BIT (1992)</t>
        </is>
      </c>
      <c r="P134" s="34" t="inlineStr"/>
      <c r="Q134" s="34" t="inlineStr">
        <is>
          <t>Söderlund, C. - President; Brower, C. N. - Claimant; Sands, P. - Respondent</t>
        </is>
      </c>
      <c r="R134" s="34" t="inlineStr">
        <is>
          <t>ICSID annulment proceedings</t>
        </is>
      </c>
      <c r="S134" s="34" t="inlineStr">
        <is>
          <t>Award/decision upheld ICSID annulment proceedings</t>
        </is>
      </c>
      <c r="T134" s="34" t="inlineStr">
        <is>
          <t>Inglés</t>
        </is>
      </c>
      <c r="U134" s="34" t="inlineStr">
        <is>
          <t>https://www.italaw.com/cases/11082</t>
        </is>
      </c>
      <c r="V134" s="34" t="inlineStr">
        <is>
          <t>Sí</t>
        </is>
      </c>
    </row>
    <row r="135">
      <c r="A135" s="34" t="n">
        <v>134</v>
      </c>
      <c r="B135" s="34" t="inlineStr">
        <is>
          <t>Cervin and Rhone v. Costa Rica</t>
        </is>
      </c>
      <c r="C135" s="34" t="inlineStr">
        <is>
          <t>Cervin Investissements S.A. and Rhone Investissements S.A. v. Republic of Costa Rica (ICSID Case No. ARB/13/2)</t>
        </is>
      </c>
      <c r="D135" s="34" t="inlineStr">
        <is>
          <t>Costa Rica</t>
        </is>
      </c>
      <c r="E135" s="34" t="inlineStr">
        <is>
          <t>América Central/Caribe</t>
        </is>
      </c>
      <c r="F135" s="34" t="inlineStr">
        <is>
          <t>Switzerland</t>
        </is>
      </c>
      <c r="G135" s="34" t="n">
        <v>2013</v>
      </c>
      <c r="H135" s="34" t="inlineStr">
        <is>
          <t>Sí sin daños</t>
        </is>
      </c>
      <c r="I135" s="34" t="inlineStr">
        <is>
          <t>Sí</t>
        </is>
      </c>
      <c r="J135" s="34" t="inlineStr">
        <is>
          <t>TJE - Trato Justo y Equitativo</t>
        </is>
      </c>
      <c r="K135" s="34" t="inlineStr">
        <is>
          <t>40632.00 CRC (75.00 USD)</t>
        </is>
      </c>
      <c r="L135" s="34" t="inlineStr">
        <is>
          <t>0.00 USD</t>
        </is>
      </c>
      <c r="M135" s="34" t="inlineStr">
        <is>
          <t>Tertiary - D - Electricity, gas, steam and air conditioning supply</t>
        </is>
      </c>
      <c r="N135" s="34" t="inlineStr">
        <is>
          <t>Cambio regulatorio</t>
        </is>
      </c>
      <c r="O135" s="34" t="inlineStr">
        <is>
          <t>Costa Rica - Switzerland BIT (2000)</t>
        </is>
      </c>
      <c r="P135" s="34" t="inlineStr"/>
      <c r="Q135" s="34" t="inlineStr">
        <is>
          <t>Mourre, A. - President; Ramírez Hernández, R. - Claimant; Jana Linetzky, A. - Respondent</t>
        </is>
      </c>
      <c r="R135" s="34" t="inlineStr"/>
      <c r="S135" s="34" t="inlineStr"/>
      <c r="T135" s="34" t="inlineStr">
        <is>
          <t>Indeterminado</t>
        </is>
      </c>
      <c r="U135" s="34" t="inlineStr">
        <is>
          <t>http://www.italaw.com/cases/2125</t>
        </is>
      </c>
      <c r="V135" s="34" t="inlineStr">
        <is>
          <t>Sí</t>
        </is>
      </c>
    </row>
    <row r="136">
      <c r="A136" s="33" t="n">
        <v>135</v>
      </c>
      <c r="B136" s="33" t="inlineStr">
        <is>
          <t>Edenred v. Hungary</t>
        </is>
      </c>
      <c r="C136" s="33" t="inlineStr">
        <is>
          <t>Edenred S.A. v. Hungary (ICSID Case No. ARB/13/21)</t>
        </is>
      </c>
      <c r="D136" s="33" t="inlineStr">
        <is>
          <t>Hungary</t>
        </is>
      </c>
      <c r="E136" s="33" t="inlineStr">
        <is>
          <t>Europa Occidental</t>
        </is>
      </c>
      <c r="F136" s="33" t="inlineStr">
        <is>
          <t>France</t>
        </is>
      </c>
      <c r="G136" s="33" t="n">
        <v>2013</v>
      </c>
      <c r="H136" s="33" t="inlineStr">
        <is>
          <t>Sí con daños</t>
        </is>
      </c>
      <c r="I136" s="33" t="inlineStr">
        <is>
          <t>Sí</t>
        </is>
      </c>
      <c r="J136" s="33" t="inlineStr">
        <is>
          <t>TJE - Trato Justo y Equitativo</t>
        </is>
      </c>
      <c r="K136" s="33" t="inlineStr"/>
      <c r="L136" s="33" t="inlineStr">
        <is>
          <t>23.00 EUR (24.30 USD)</t>
        </is>
      </c>
      <c r="M136" s="33" t="inlineStr">
        <is>
          <t>Tertiary - N - Administrative and support service activities</t>
        </is>
      </c>
      <c r="N136" s="33" t="inlineStr">
        <is>
          <t>Nacionalización</t>
        </is>
      </c>
      <c r="O136" s="33" t="inlineStr">
        <is>
          <t>France - Hungary BIT (1986)</t>
        </is>
      </c>
      <c r="P136" s="33" t="inlineStr"/>
      <c r="Q136" s="33" t="inlineStr">
        <is>
          <t>Fernández-Armesto, J. - President; Orrego Vicuña, F. - Claimant (replaced); Tschanz, P.-Y. - Claimant; von Wobeser, C. - Respondent</t>
        </is>
      </c>
      <c r="R136" s="33" t="inlineStr">
        <is>
          <t>ICSID annulment proceedings</t>
        </is>
      </c>
      <c r="S136" s="33" t="inlineStr">
        <is>
          <t>Award/decision upheld ICSID annulment proceedings</t>
        </is>
      </c>
      <c r="T136" s="33" t="inlineStr">
        <is>
          <t>Indeterminado</t>
        </is>
      </c>
      <c r="U136" s="33" t="inlineStr">
        <is>
          <t>http://www.italaw.com/cases/2235</t>
        </is>
      </c>
      <c r="V136" s="33" t="inlineStr">
        <is>
          <t>Sí</t>
        </is>
      </c>
    </row>
    <row r="137">
      <c r="A137" s="33" t="n">
        <v>136</v>
      </c>
      <c r="B137" s="33" t="inlineStr">
        <is>
          <t>Eiser and Energía Solar v. Spain</t>
        </is>
      </c>
      <c r="C137" s="33" t="inlineStr">
        <is>
          <t>Eiser Infrastructure Limited and Energía Solar Luxembourg S.à r.l. v. Kingdom of Spain (ICSID Case No. ARB/13/36)</t>
        </is>
      </c>
      <c r="D137" s="33" t="inlineStr">
        <is>
          <t>Spain</t>
        </is>
      </c>
      <c r="E137" s="33" t="inlineStr">
        <is>
          <t>Europa Occidental</t>
        </is>
      </c>
      <c r="F137" s="33" t="inlineStr">
        <is>
          <t>Luxembourg;
United Kingdom</t>
        </is>
      </c>
      <c r="G137" s="33" t="n">
        <v>2013</v>
      </c>
      <c r="H137" s="33" t="inlineStr">
        <is>
          <t>Sí con daños</t>
        </is>
      </c>
      <c r="I137" s="33" t="inlineStr">
        <is>
          <t>Sí</t>
        </is>
      </c>
      <c r="J137" s="33" t="inlineStr">
        <is>
          <t>TJE - Trato Justo y Equitativo</t>
        </is>
      </c>
      <c r="K137" s="33" t="inlineStr">
        <is>
          <t>256.00 EUR (279.50 USD)</t>
        </is>
      </c>
      <c r="L137" s="33" t="inlineStr">
        <is>
          <t>128.00 EUR (139.80 USD)</t>
        </is>
      </c>
      <c r="M137" s="33" t="inlineStr">
        <is>
          <t>Tertiary - D - Electricity, gas, steam and air conditioning supply</t>
        </is>
      </c>
      <c r="N137" s="33" t="inlineStr">
        <is>
          <t>Expropiación recursos naturales</t>
        </is>
      </c>
      <c r="O137" s="33" t="inlineStr">
        <is>
          <t>The Energy Charter Treaty (1994)</t>
        </is>
      </c>
      <c r="P137" s="33" t="inlineStr"/>
      <c r="Q137" s="33" t="inlineStr">
        <is>
          <t>Crook, J. R. - President; Alexandrov, S. A. - Claimant; McLachlan, C. A. - Respondent</t>
        </is>
      </c>
      <c r="R137" s="33" t="inlineStr">
        <is>
          <t>ICSID annulment proceedings;
ICSID resubmission proceedings</t>
        </is>
      </c>
      <c r="S137" s="33" t="inlineStr">
        <is>
          <t>Award/decision annulled in its entirety ICSID annulment proceedings;
Pending ICSID resubmission proceedings</t>
        </is>
      </c>
      <c r="T137" s="33" t="inlineStr">
        <is>
          <t>Indeterminado</t>
        </is>
      </c>
      <c r="U137" s="33" t="inlineStr">
        <is>
          <t>https://www.italaw.com/cases/5721</t>
        </is>
      </c>
      <c r="V137" s="33" t="inlineStr">
        <is>
          <t>Sí</t>
        </is>
      </c>
    </row>
    <row r="138">
      <c r="A138" s="32" t="n">
        <v>137</v>
      </c>
      <c r="B138" s="32" t="inlineStr">
        <is>
          <t>EVN v. Bulgaria</t>
        </is>
      </c>
      <c r="C138" s="32" t="inlineStr">
        <is>
          <t>EVN AG v. Republic of Bulgaria (ICSID Case No. ARB/13/17)</t>
        </is>
      </c>
      <c r="D138" s="32" t="inlineStr">
        <is>
          <t>Bulgaria</t>
        </is>
      </c>
      <c r="E138" s="32" t="inlineStr">
        <is>
          <t>Europa Occidental</t>
        </is>
      </c>
      <c r="F138" s="32" t="inlineStr">
        <is>
          <t>Austria</t>
        </is>
      </c>
      <c r="G138" s="32" t="n">
        <v>2013</v>
      </c>
      <c r="H138" s="32" t="inlineStr">
        <is>
          <t>No - ganó el Estado</t>
        </is>
      </c>
      <c r="I138" s="32" t="inlineStr">
        <is>
          <t>No</t>
        </is>
      </c>
      <c r="J138" s="32" t="inlineStr">
        <is>
          <t>TJE - Trato Justo y Equitativo | Expropiación | Libre Transferencia</t>
        </is>
      </c>
      <c r="K138" s="32" t="inlineStr">
        <is>
          <t>850.00 EUR (957.80 USD)</t>
        </is>
      </c>
      <c r="L138" s="32" t="inlineStr"/>
      <c r="M138" s="32" t="inlineStr">
        <is>
          <t>Tertiary - D - Electricity, gas, steam and air conditioning supply</t>
        </is>
      </c>
      <c r="N138" s="32" t="inlineStr">
        <is>
          <t>Nacionalización</t>
        </is>
      </c>
      <c r="O138" s="32" t="inlineStr">
        <is>
          <t>Austria - Bulgaria BIT (1997);
The Energy Charter Treaty (1994)</t>
        </is>
      </c>
      <c r="P138" s="32" t="inlineStr"/>
      <c r="Q138" s="32" t="inlineStr">
        <is>
          <t>Veeder, V. V. - President; Price, D. M. - Claimant; Dupuy, P.-M. - Respondent</t>
        </is>
      </c>
      <c r="R138" s="32" t="inlineStr"/>
      <c r="S138" s="32" t="inlineStr"/>
      <c r="T138" s="32" t="inlineStr">
        <is>
          <t>Indeterminado</t>
        </is>
      </c>
      <c r="U138" s="32" t="inlineStr">
        <is>
          <t>http://www.italaw.com/cases/2171</t>
        </is>
      </c>
      <c r="V138" s="32" t="inlineStr">
        <is>
          <t>Sí</t>
        </is>
      </c>
    </row>
    <row r="139">
      <c r="A139" s="31" t="n">
        <v>138</v>
      </c>
      <c r="B139" s="31" t="inlineStr">
        <is>
          <t>Güneş Tekstil and others v. Uzbekistan</t>
        </is>
      </c>
      <c r="C139" s="31" t="inlineStr">
        <is>
          <t>Güneş Tekstil Konfeksiyon Sanayi ve Ticaret Limited Şirketi and others v. Republic of Uzbekistan (ICSID Case No. ARB/13/19)</t>
        </is>
      </c>
      <c r="D139" s="31" t="inlineStr">
        <is>
          <t>Uzbekistan</t>
        </is>
      </c>
      <c r="E139" s="31" t="inlineStr">
        <is>
          <t>Este Europa/Asia Central</t>
        </is>
      </c>
      <c r="F139" s="31" t="inlineStr">
        <is>
          <t>Türkiye</t>
        </is>
      </c>
      <c r="G139" s="31" t="n">
        <v>2013</v>
      </c>
      <c r="H139" s="31" t="inlineStr">
        <is>
          <t>Sí con daños</t>
        </is>
      </c>
      <c r="I139" s="31" t="inlineStr">
        <is>
          <t>Sí</t>
        </is>
      </c>
      <c r="J139" s="31" t="inlineStr"/>
      <c r="K139" s="31" t="inlineStr">
        <is>
          <t>246.00 USD</t>
        </is>
      </c>
      <c r="L139" s="31" t="inlineStr">
        <is>
          <t>26.00 USD</t>
        </is>
      </c>
      <c r="M139" s="31" t="inlineStr">
        <is>
          <t>Tertiary - G - Wholesale and retail trade; repair of motor vehicles and motorcycles</t>
        </is>
      </c>
      <c r="N139" s="31" t="inlineStr"/>
      <c r="O139" s="31" t="inlineStr">
        <is>
          <t>Turkey - Uzbekistan BIT (1992)</t>
        </is>
      </c>
      <c r="P139" s="31" t="inlineStr"/>
      <c r="Q139" s="31" t="inlineStr">
        <is>
          <t>Schwartz, E. - Claimant; Giovannini, T. - Respondent (replaced); van Houtte, H. - President; Sands, P. - Respondent</t>
        </is>
      </c>
      <c r="R139" s="31" t="inlineStr">
        <is>
          <t>ICSID annulment proceedings</t>
        </is>
      </c>
      <c r="S139" s="31" t="inlineStr">
        <is>
          <t>Discontinued ICSID annulment proceedings</t>
        </is>
      </c>
      <c r="T139" s="31" t="inlineStr"/>
      <c r="U139" s="31" t="inlineStr">
        <is>
          <t>http://www.italaw.com/cases/2221</t>
        </is>
      </c>
      <c r="V139" s="31" t="inlineStr">
        <is>
          <t>Pendiente</t>
        </is>
      </c>
    </row>
    <row r="140">
      <c r="A140" s="33" t="n">
        <v>139</v>
      </c>
      <c r="B140" s="33" t="inlineStr">
        <is>
          <t>Houben v. Burundi</t>
        </is>
      </c>
      <c r="C140" s="33" t="inlineStr">
        <is>
          <t>Joseph Houben v. Republic of Burundi (ICSID Case No. ARB/13/7)</t>
        </is>
      </c>
      <c r="D140" s="33" t="inlineStr">
        <is>
          <t>Burundi</t>
        </is>
      </c>
      <c r="E140" s="33" t="inlineStr">
        <is>
          <t>Sin clasificar</t>
        </is>
      </c>
      <c r="F140" s="33" t="inlineStr">
        <is>
          <t>Belgium</t>
        </is>
      </c>
      <c r="G140" s="33" t="n">
        <v>2013</v>
      </c>
      <c r="H140" s="33" t="inlineStr">
        <is>
          <t>Sí con daños</t>
        </is>
      </c>
      <c r="I140" s="33" t="inlineStr">
        <is>
          <t>Sí</t>
        </is>
      </c>
      <c r="J140" s="33" t="inlineStr">
        <is>
          <t>TJE - Trato Justo y Equitativo | Expropiación</t>
        </is>
      </c>
      <c r="K140" s="33" t="inlineStr">
        <is>
          <t>9.10 USD</t>
        </is>
      </c>
      <c r="L140" s="33" t="inlineStr">
        <is>
          <t>0.20 USD</t>
        </is>
      </c>
      <c r="M140" s="33" t="inlineStr">
        <is>
          <t>Tertiary - L - Real estate activities</t>
        </is>
      </c>
      <c r="N140" s="33" t="inlineStr"/>
      <c r="O140" s="33" t="inlineStr">
        <is>
          <t>BLEU (Belgium-Luxembourg Economic Union) - Burundi BIT (1989)</t>
        </is>
      </c>
      <c r="P140" s="33" t="inlineStr"/>
      <c r="Q140" s="33" t="inlineStr">
        <is>
          <t>Guillaume, G. - President; Banifatemi, Y. - Claimant; Stern, B. - Respondent</t>
        </is>
      </c>
      <c r="R140" s="33" t="inlineStr"/>
      <c r="S140" s="33" t="inlineStr"/>
      <c r="T140" s="33" t="inlineStr">
        <is>
          <t>Indeterminado</t>
        </is>
      </c>
      <c r="U140" s="33" t="inlineStr">
        <is>
          <t>http://www.italaw.com/cases/2062</t>
        </is>
      </c>
      <c r="V140" s="33" t="inlineStr">
        <is>
          <t>Sí</t>
        </is>
      </c>
    </row>
    <row r="141">
      <c r="A141" s="33" t="n">
        <v>140</v>
      </c>
      <c r="B141" s="33" t="inlineStr">
        <is>
          <t>Infrastructure Services and Energia Termosolar (formerly Antin) v. Spain</t>
        </is>
      </c>
      <c r="C141" s="33" t="inlineStr">
        <is>
          <t>Infrastructure Services Luxembourg S.à.r.l. and Energia Termosolar B.V. (formerly Antin Infrastructure Services Luxembourg S.à.r.l. and Antin Energia Termosolar B.V.) v. Kingdom of Spain (ICSID Case No. ARB/13/31)</t>
        </is>
      </c>
      <c r="D141" s="33" t="inlineStr">
        <is>
          <t>Spain</t>
        </is>
      </c>
      <c r="E141" s="33" t="inlineStr">
        <is>
          <t>Europa Occidental</t>
        </is>
      </c>
      <c r="F141" s="33" t="inlineStr">
        <is>
          <t>Luxembourg;
Netherlands</t>
        </is>
      </c>
      <c r="G141" s="33" t="n">
        <v>2013</v>
      </c>
      <c r="H141" s="33" t="inlineStr">
        <is>
          <t>Sí con daños</t>
        </is>
      </c>
      <c r="I141" s="33" t="inlineStr">
        <is>
          <t>Sí</t>
        </is>
      </c>
      <c r="J141" s="33" t="inlineStr">
        <is>
          <t>TJE - Trato Justo y Equitativo | Cláusula Paraguas</t>
        </is>
      </c>
      <c r="K141" s="33" t="inlineStr">
        <is>
          <t>196.00 EUR (229.60 USD)</t>
        </is>
      </c>
      <c r="L141" s="33" t="inlineStr">
        <is>
          <t>101.00 EUR (115.30 USD)</t>
        </is>
      </c>
      <c r="M141" s="33" t="inlineStr">
        <is>
          <t>Tertiary - D - Electricity, gas, steam and air conditioning supply</t>
        </is>
      </c>
      <c r="N141" s="33" t="inlineStr"/>
      <c r="O141" s="33" t="inlineStr">
        <is>
          <t>The Energy Charter Treaty (1994)</t>
        </is>
      </c>
      <c r="P141" s="33" t="inlineStr"/>
      <c r="Q141" s="33" t="inlineStr">
        <is>
          <t>Zuleta, E. - President; Orrego Vicuña, F. - Claimant (replaced); Reichert, K. - Claimant; Thomas, J. C. - Respondent</t>
        </is>
      </c>
      <c r="R141" s="33" t="inlineStr">
        <is>
          <t>ICSID annulment proceedings</t>
        </is>
      </c>
      <c r="S141" s="33" t="inlineStr">
        <is>
          <t>Award/decision upheld ICSID annulment proceedings</t>
        </is>
      </c>
      <c r="T141" s="33" t="inlineStr">
        <is>
          <t>Indeterminado</t>
        </is>
      </c>
      <c r="U141" s="33" t="inlineStr">
        <is>
          <t>http://www.italaw.com/cases/2319</t>
        </is>
      </c>
      <c r="V141" s="33" t="inlineStr">
        <is>
          <t>Sí</t>
        </is>
      </c>
    </row>
    <row r="142">
      <c r="A142" s="33" t="n">
        <v>141</v>
      </c>
      <c r="B142" s="33" t="inlineStr">
        <is>
          <t>Karkey Karadeniz v. Pakistan</t>
        </is>
      </c>
      <c r="C142" s="33" t="inlineStr">
        <is>
          <t>Karkey Karadeniz Elektrik Uretim A.S. v. Islamic Republic of Pakistan (ICSID Case No. ARB/13/1)</t>
        </is>
      </c>
      <c r="D142" s="33" t="inlineStr">
        <is>
          <t>Pakistan</t>
        </is>
      </c>
      <c r="E142" s="33" t="inlineStr">
        <is>
          <t>Asia Sur-Este/Pacífico</t>
        </is>
      </c>
      <c r="F142" s="33" t="inlineStr">
        <is>
          <t>Türkiye</t>
        </is>
      </c>
      <c r="G142" s="33" t="n">
        <v>2013</v>
      </c>
      <c r="H142" s="33" t="inlineStr">
        <is>
          <t>Sí con daños</t>
        </is>
      </c>
      <c r="I142" s="33" t="inlineStr">
        <is>
          <t>Sí</t>
        </is>
      </c>
      <c r="J142" s="33" t="inlineStr"/>
      <c r="K142" s="33" t="inlineStr">
        <is>
          <t>2000.00 USD</t>
        </is>
      </c>
      <c r="L142" s="33" t="inlineStr">
        <is>
          <t>490.40 USD</t>
        </is>
      </c>
      <c r="M142" s="33" t="inlineStr">
        <is>
          <t>Tertiary - D - Electricity, gas, steam and air conditioning supply</t>
        </is>
      </c>
      <c r="N142" s="33" t="inlineStr"/>
      <c r="O142" s="33" t="inlineStr">
        <is>
          <t>Pakistan - Turkey BIT (1995)</t>
        </is>
      </c>
      <c r="P142" s="33" t="inlineStr"/>
      <c r="Q142" s="33" t="inlineStr">
        <is>
          <t>Derains, Y. - President; Grigera Naón, H. A. - Claimant; Edward, D. A. O. - Respondent</t>
        </is>
      </c>
      <c r="R142" s="33" t="inlineStr">
        <is>
          <t>ICSID annulment proceedings</t>
        </is>
      </c>
      <c r="S142" s="33" t="inlineStr">
        <is>
          <t>Discontinued ICSID annulment proceedings</t>
        </is>
      </c>
      <c r="T142" s="33" t="inlineStr">
        <is>
          <t>Indeterminado</t>
        </is>
      </c>
      <c r="U142" s="33" t="inlineStr">
        <is>
          <t>http://www.italaw.com/cases/2024</t>
        </is>
      </c>
      <c r="V142" s="33" t="inlineStr">
        <is>
          <t>Sí</t>
        </is>
      </c>
    </row>
    <row r="143">
      <c r="A143" s="32" t="n">
        <v>142</v>
      </c>
      <c r="B143" s="32" t="inlineStr">
        <is>
          <t>Marfin v. Cyprus</t>
        </is>
      </c>
      <c r="C143" s="32" t="inlineStr">
        <is>
          <t>Marfin Investment Group Holdings S.A., Alexandros Bakatselos and others v. Republic of Cyprus (ICSID Case No. ARB/13/27)</t>
        </is>
      </c>
      <c r="D143" s="32" t="inlineStr">
        <is>
          <t>Cyprus</t>
        </is>
      </c>
      <c r="E143" s="32" t="inlineStr">
        <is>
          <t>Europa Occidental</t>
        </is>
      </c>
      <c r="F143" s="32" t="inlineStr">
        <is>
          <t>Greece</t>
        </is>
      </c>
      <c r="G143" s="32" t="n">
        <v>2013</v>
      </c>
      <c r="H143" s="32" t="inlineStr">
        <is>
          <t>No - ganó el Estado</t>
        </is>
      </c>
      <c r="I143" s="32" t="inlineStr">
        <is>
          <t>No</t>
        </is>
      </c>
      <c r="J143" s="32" t="inlineStr">
        <is>
          <t>TJE - Trato Justo y Equitativo | Expropiación</t>
        </is>
      </c>
      <c r="K143" s="32" t="inlineStr">
        <is>
          <t>1101.10 EUR (1287.80 USD)</t>
        </is>
      </c>
      <c r="L143" s="32" t="inlineStr"/>
      <c r="M143" s="32" t="inlineStr">
        <is>
          <t>Tertiary - K - Financial and insurance activities</t>
        </is>
      </c>
      <c r="N143" s="32" t="inlineStr">
        <is>
          <t>Nacionalización</t>
        </is>
      </c>
      <c r="O143" s="32" t="inlineStr">
        <is>
          <t>Cyprus - Greece BIT (1992)</t>
        </is>
      </c>
      <c r="P143" s="32" t="inlineStr"/>
      <c r="Q143" s="32" t="inlineStr">
        <is>
          <t>Hanotiau, B. - President; Price, D. M. - Claimant; Edward, D. A. O. - Respondent</t>
        </is>
      </c>
      <c r="R143" s="32" t="inlineStr"/>
      <c r="S143" s="32" t="inlineStr"/>
      <c r="T143" s="32" t="inlineStr">
        <is>
          <t>Indeterminado</t>
        </is>
      </c>
      <c r="U143" s="32" t="inlineStr">
        <is>
          <t>http://www.italaw.com/cases/2068</t>
        </is>
      </c>
      <c r="V143" s="32" t="inlineStr">
        <is>
          <t>Sí</t>
        </is>
      </c>
    </row>
    <row r="144">
      <c r="A144" s="33" t="n">
        <v>143</v>
      </c>
      <c r="B144" s="33" t="inlineStr">
        <is>
          <t>MOL v. Croatia</t>
        </is>
      </c>
      <c r="C144" s="33" t="inlineStr">
        <is>
          <t>MOL Hungarian Oil and Gas Company Plc v. Republic of Croatia (ICSID Case No. ARB/13/32)</t>
        </is>
      </c>
      <c r="D144" s="33" t="inlineStr">
        <is>
          <t>Croatia</t>
        </is>
      </c>
      <c r="E144" s="33" t="inlineStr">
        <is>
          <t>Europa Occidental</t>
        </is>
      </c>
      <c r="F144" s="33" t="inlineStr">
        <is>
          <t>Hungary</t>
        </is>
      </c>
      <c r="G144" s="33" t="n">
        <v>2013</v>
      </c>
      <c r="H144" s="33" t="inlineStr">
        <is>
          <t>Sí con daños</t>
        </is>
      </c>
      <c r="I144" s="33" t="inlineStr">
        <is>
          <t>Sí</t>
        </is>
      </c>
      <c r="J144" s="33" t="inlineStr"/>
      <c r="K144" s="33" t="inlineStr">
        <is>
          <t>1100.00 USD</t>
        </is>
      </c>
      <c r="L144" s="33" t="inlineStr">
        <is>
          <t>183.90 USD</t>
        </is>
      </c>
      <c r="M144" s="33" t="inlineStr">
        <is>
          <t>Primary - B - Mining and quarrying;
Tertiary - D - Electricity, gas, steam and air conditioning supply</t>
        </is>
      </c>
      <c r="N144" s="33" t="inlineStr"/>
      <c r="O144" s="33" t="inlineStr">
        <is>
          <t>The Energy Charter Treaty (1994)</t>
        </is>
      </c>
      <c r="P144" s="33" t="inlineStr"/>
      <c r="Q144" s="33" t="inlineStr">
        <is>
          <t>Berman, F. - President; Park, W. W. - Claimant; Stern, B. - Respondent</t>
        </is>
      </c>
      <c r="R144" s="33" t="inlineStr"/>
      <c r="S144" s="33" t="inlineStr"/>
      <c r="T144" s="33" t="inlineStr">
        <is>
          <t>Inglés</t>
        </is>
      </c>
      <c r="U144" s="33" t="inlineStr">
        <is>
          <t>http://www.italaw.com/cases/2516</t>
        </is>
      </c>
      <c r="V144" s="33" t="inlineStr">
        <is>
          <t>Sí</t>
        </is>
      </c>
    </row>
    <row r="145">
      <c r="A145" s="32" t="n">
        <v>144</v>
      </c>
      <c r="B145" s="32" t="inlineStr">
        <is>
          <t>Poštová banka and Istrokapital v. Greece</t>
        </is>
      </c>
      <c r="C145" s="32" t="inlineStr">
        <is>
          <t>Poštová banka, a.s. and Istrokapital SE v. Hellenic Republic (ICSID Case No. ARB/13/8)</t>
        </is>
      </c>
      <c r="D145" s="32" t="inlineStr">
        <is>
          <t>Greece</t>
        </is>
      </c>
      <c r="E145" s="32" t="inlineStr">
        <is>
          <t>Europa Occidental</t>
        </is>
      </c>
      <c r="F145" s="32" t="inlineStr">
        <is>
          <t>Cyprus;
Slovakia</t>
        </is>
      </c>
      <c r="G145" s="32" t="n">
        <v>2013</v>
      </c>
      <c r="H145" s="32" t="inlineStr">
        <is>
          <t>No - ganó el Estado</t>
        </is>
      </c>
      <c r="I145" s="32" t="inlineStr">
        <is>
          <t>No</t>
        </is>
      </c>
      <c r="J145" s="32" t="inlineStr">
        <is>
          <t>Cláusula Paraguas | NMF - Nación Más Favorecida</t>
        </is>
      </c>
      <c r="K145" s="32" t="inlineStr">
        <is>
          <t>500.00 EUR (529.00 USD)</t>
        </is>
      </c>
      <c r="L145" s="32" t="inlineStr"/>
      <c r="M145" s="32" t="inlineStr">
        <is>
          <t>Tertiary - K - Financial and insurance activities</t>
        </is>
      </c>
      <c r="N145" s="32" t="inlineStr"/>
      <c r="O145" s="32" t="inlineStr">
        <is>
          <t>Czech Republic - Greece BIT (1991);
Cyprus - Greece BIT (1992)</t>
        </is>
      </c>
      <c r="P145" s="32" t="inlineStr"/>
      <c r="Q145" s="32" t="inlineStr">
        <is>
          <t>Zuleta, E. - President; Townsend, J. M. - Claimant; Stern, B. - Respondent</t>
        </is>
      </c>
      <c r="R145" s="32" t="inlineStr">
        <is>
          <t>ICSID annulment proceedings</t>
        </is>
      </c>
      <c r="S145" s="32" t="inlineStr">
        <is>
          <t>Award/decision upheld ICSID annulment proceedings</t>
        </is>
      </c>
      <c r="T145" s="32" t="inlineStr">
        <is>
          <t>Inglés</t>
        </is>
      </c>
      <c r="U145" s="32" t="inlineStr">
        <is>
          <t>http://www.italaw.com/cases/2073</t>
        </is>
      </c>
      <c r="V145" s="32" t="inlineStr">
        <is>
          <t>Sí</t>
        </is>
      </c>
    </row>
    <row r="146">
      <c r="A146" s="33" t="n">
        <v>145</v>
      </c>
      <c r="B146" s="33" t="inlineStr">
        <is>
          <t>RREEF v. Spain</t>
        </is>
      </c>
      <c r="C146" s="33" t="inlineStr">
        <is>
          <t>RREEF Infrastructure (G.P.) Limited and RREEF Pan-European Infrastructure Two Lux S.à r.l. v. Kingdom of Spain (ICSID Case No. ARB/13/30)</t>
        </is>
      </c>
      <c r="D146" s="33" t="inlineStr">
        <is>
          <t>Spain</t>
        </is>
      </c>
      <c r="E146" s="33" t="inlineStr">
        <is>
          <t>Europa Occidental</t>
        </is>
      </c>
      <c r="F146" s="33" t="inlineStr">
        <is>
          <t>Luxembourg;
United Kingdom</t>
        </is>
      </c>
      <c r="G146" s="33" t="n">
        <v>2013</v>
      </c>
      <c r="H146" s="33" t="inlineStr">
        <is>
          <t>Sí con daños</t>
        </is>
      </c>
      <c r="I146" s="33" t="inlineStr">
        <is>
          <t>Sí</t>
        </is>
      </c>
      <c r="J146" s="33" t="inlineStr"/>
      <c r="K146" s="33" t="inlineStr">
        <is>
          <t>441.00 EUR (512.30 USD)</t>
        </is>
      </c>
      <c r="L146" s="33" t="inlineStr">
        <is>
          <t>59.60 EUR (66.00 USD)</t>
        </is>
      </c>
      <c r="M146" s="33" t="inlineStr">
        <is>
          <t>Tertiary - D - Electricity, gas, steam and air conditioning supply</t>
        </is>
      </c>
      <c r="N146" s="33" t="inlineStr">
        <is>
          <t>Reforma régimen energético/renovables</t>
        </is>
      </c>
      <c r="O146" s="33" t="inlineStr">
        <is>
          <t>The Energy Charter Treaty (1994)</t>
        </is>
      </c>
      <c r="P146" s="33" t="inlineStr"/>
      <c r="Q146" s="33" t="inlineStr">
        <is>
          <t>Pellet, A. - President; Volterra, R. - Claimant; Nikken, P. - Respondent</t>
        </is>
      </c>
      <c r="R146" s="33" t="inlineStr">
        <is>
          <t>ICSID annulment proceedings</t>
        </is>
      </c>
      <c r="S146" s="33" t="inlineStr">
        <is>
          <t>Award/decision upheld ICSID annulment proceedings</t>
        </is>
      </c>
      <c r="T146" s="33" t="inlineStr">
        <is>
          <t>Inglés</t>
        </is>
      </c>
      <c r="U146" s="33" t="inlineStr">
        <is>
          <t>http://www.italaw.com/cases/2317</t>
        </is>
      </c>
      <c r="V146" s="33" t="inlineStr">
        <is>
          <t>Sí</t>
        </is>
      </c>
    </row>
    <row r="147">
      <c r="A147" s="32" t="n">
        <v>146</v>
      </c>
      <c r="B147" s="32" t="inlineStr">
        <is>
          <t>Spentex v. Uzbekistan</t>
        </is>
      </c>
      <c r="C147" s="32" t="inlineStr">
        <is>
          <t>Spentex Netherlands, B.V. v. Republic of Uzbekistan (ICSID Case No. ARB/13/26)</t>
        </is>
      </c>
      <c r="D147" s="32" t="inlineStr">
        <is>
          <t>Uzbekistan</t>
        </is>
      </c>
      <c r="E147" s="32" t="inlineStr">
        <is>
          <t>Este Europa/Asia Central</t>
        </is>
      </c>
      <c r="F147" s="32" t="inlineStr">
        <is>
          <t>Netherlands</t>
        </is>
      </c>
      <c r="G147" s="32" t="n">
        <v>2013</v>
      </c>
      <c r="H147" s="32" t="inlineStr">
        <is>
          <t>No - ganó el Estado</t>
        </is>
      </c>
      <c r="I147" s="32" t="inlineStr">
        <is>
          <t>No</t>
        </is>
      </c>
      <c r="J147" s="32" t="inlineStr">
        <is>
          <t>TJE - Trato Justo y Equitativo</t>
        </is>
      </c>
      <c r="K147" s="32" t="inlineStr">
        <is>
          <t>100.00 USD</t>
        </is>
      </c>
      <c r="L147" s="32" t="inlineStr"/>
      <c r="M147" s="32" t="inlineStr">
        <is>
          <t>Secondary - C - Manufacturing</t>
        </is>
      </c>
      <c r="N147" s="32" t="inlineStr"/>
      <c r="O147" s="32" t="inlineStr">
        <is>
          <t>Netherlands - Uzbekistan BIT (1996)</t>
        </is>
      </c>
      <c r="P147" s="32" t="inlineStr"/>
      <c r="Q147" s="32" t="inlineStr">
        <is>
          <t>Reinisch, A. - President; Alexandrov, S. A. - Claimant; Stern, B. - Respondent</t>
        </is>
      </c>
      <c r="R147" s="32" t="inlineStr"/>
      <c r="S147" s="32" t="inlineStr"/>
      <c r="T147" s="32" t="inlineStr">
        <is>
          <t>Indeterminado</t>
        </is>
      </c>
      <c r="U147" s="32" t="inlineStr">
        <is>
          <t>http://www.italaw.com/cases/2252</t>
        </is>
      </c>
      <c r="V147" s="32" t="inlineStr">
        <is>
          <t>Sí</t>
        </is>
      </c>
    </row>
    <row r="148">
      <c r="A148" s="32" t="n">
        <v>147</v>
      </c>
      <c r="B148" s="32" t="inlineStr">
        <is>
          <t>Transglobal v. Panama</t>
        </is>
      </c>
      <c r="C148" s="32" t="inlineStr">
        <is>
          <t>Transglobal Green Energy, LLC and Transglobal Green Panama, S.A. v. Republic of Panama (ICSID Case No. ARB/13/28)</t>
        </is>
      </c>
      <c r="D148" s="32" t="inlineStr">
        <is>
          <t>Panama</t>
        </is>
      </c>
      <c r="E148" s="32" t="inlineStr">
        <is>
          <t>América Central/Caribe</t>
        </is>
      </c>
      <c r="F148" s="32" t="inlineStr">
        <is>
          <t>United States of America</t>
        </is>
      </c>
      <c r="G148" s="32" t="n">
        <v>2013</v>
      </c>
      <c r="H148" s="32" t="inlineStr">
        <is>
          <t>No - ganó el Estado</t>
        </is>
      </c>
      <c r="I148" s="32" t="inlineStr">
        <is>
          <t>No</t>
        </is>
      </c>
      <c r="J148" s="32" t="inlineStr">
        <is>
          <t>Expropiación | NMF - Nación Más Favorecida</t>
        </is>
      </c>
      <c r="K148" s="32" t="inlineStr"/>
      <c r="L148" s="32" t="inlineStr"/>
      <c r="M148" s="32" t="inlineStr">
        <is>
          <t>Tertiary - D - Electricity, gas, steam and air conditioning supply</t>
        </is>
      </c>
      <c r="N148" s="32" t="inlineStr"/>
      <c r="O148" s="32" t="inlineStr">
        <is>
          <t>Panama - United States of America BIT (1982)</t>
        </is>
      </c>
      <c r="P148" s="32" t="inlineStr"/>
      <c r="Q148" s="32" t="inlineStr">
        <is>
          <t>Rigo Sureda, A. - President; Schreuer, C. H. - Claimant; Paulsson, J. - Respondent</t>
        </is>
      </c>
      <c r="R148" s="32" t="inlineStr"/>
      <c r="S148" s="32" t="inlineStr"/>
      <c r="T148" s="32" t="inlineStr">
        <is>
          <t>Inglés</t>
        </is>
      </c>
      <c r="U148" s="32" t="inlineStr">
        <is>
          <t>http://www.italaw.com/cases/2242</t>
        </is>
      </c>
      <c r="V148" s="32" t="inlineStr">
        <is>
          <t>Sí</t>
        </is>
      </c>
    </row>
    <row r="149">
      <c r="A149" s="33" t="n">
        <v>148</v>
      </c>
      <c r="B149" s="33" t="inlineStr">
        <is>
          <t>UP and C.D Holding v. Hungary</t>
        </is>
      </c>
      <c r="C149" s="33" t="inlineStr">
        <is>
          <t>UP and C.D Holding Internationale v. Hungary (ICSID Case No. ARB/13/35)</t>
        </is>
      </c>
      <c r="D149" s="33" t="inlineStr">
        <is>
          <t>Hungary</t>
        </is>
      </c>
      <c r="E149" s="33" t="inlineStr">
        <is>
          <t>Europa Occidental</t>
        </is>
      </c>
      <c r="F149" s="33" t="inlineStr">
        <is>
          <t>France</t>
        </is>
      </c>
      <c r="G149" s="33" t="n">
        <v>2013</v>
      </c>
      <c r="H149" s="33" t="inlineStr">
        <is>
          <t>Sí con daños</t>
        </is>
      </c>
      <c r="I149" s="33" t="inlineStr">
        <is>
          <t>Sí</t>
        </is>
      </c>
      <c r="J149" s="33" t="inlineStr">
        <is>
          <t>TJE - Trato Justo y Equitativo | Expropiación</t>
        </is>
      </c>
      <c r="K149" s="33" t="inlineStr">
        <is>
          <t>27.40 EUR (31.50 USD)</t>
        </is>
      </c>
      <c r="L149" s="33" t="inlineStr">
        <is>
          <t>23.20 EUR (26.70 USD)</t>
        </is>
      </c>
      <c r="M149" s="33" t="inlineStr">
        <is>
          <t>Tertiary - N - Administrative and support service activities</t>
        </is>
      </c>
      <c r="N149" s="33" t="inlineStr"/>
      <c r="O149" s="33" t="inlineStr">
        <is>
          <t>France - Hungary BIT (1986)</t>
        </is>
      </c>
      <c r="P149" s="33" t="inlineStr"/>
      <c r="Q149" s="33" t="inlineStr">
        <is>
          <t>Böckstiegel, K.-H. - President; Fortier, L. Y. - Claimant; Bethlehem, D. - Respondent</t>
        </is>
      </c>
      <c r="R149" s="33" t="inlineStr">
        <is>
          <t>ICSID annulment proceedings</t>
        </is>
      </c>
      <c r="S149" s="33" t="inlineStr">
        <is>
          <t>Award/decision upheld ICSID annulment proceedings</t>
        </is>
      </c>
      <c r="T149" s="33" t="inlineStr">
        <is>
          <t>Inglés</t>
        </is>
      </c>
      <c r="U149" s="33" t="inlineStr">
        <is>
          <t>https://www.italaw.com/cases/6902</t>
        </is>
      </c>
      <c r="V149" s="33" t="inlineStr">
        <is>
          <t>Sí</t>
        </is>
      </c>
    </row>
    <row r="150">
      <c r="A150" s="33" t="n">
        <v>149</v>
      </c>
      <c r="B150" s="33" t="inlineStr">
        <is>
          <t>Valores Mundiales and Consorcio Andino v. Venezuela</t>
        </is>
      </c>
      <c r="C150" s="33" t="inlineStr">
        <is>
          <t>Valores Mundiales, S.L. and Consorcio Andino S.L. v. Bolivarian Republic of Venezuela (ICSID Case No. ARB/13/11)</t>
        </is>
      </c>
      <c r="D150" s="33" t="inlineStr">
        <is>
          <t>Venezuela, Bolivarian Republic of</t>
        </is>
      </c>
      <c r="E150" s="33" t="inlineStr">
        <is>
          <t>América del Sur</t>
        </is>
      </c>
      <c r="F150" s="33" t="inlineStr">
        <is>
          <t>Spain</t>
        </is>
      </c>
      <c r="G150" s="33" t="n">
        <v>2013</v>
      </c>
      <c r="H150" s="33" t="inlineStr">
        <is>
          <t>Sí con daños</t>
        </is>
      </c>
      <c r="I150" s="33" t="inlineStr">
        <is>
          <t>Sí</t>
        </is>
      </c>
      <c r="J150" s="33" t="inlineStr">
        <is>
          <t>Expropiación</t>
        </is>
      </c>
      <c r="K150" s="33" t="inlineStr">
        <is>
          <t>629.70 USD</t>
        </is>
      </c>
      <c r="L150" s="33" t="inlineStr">
        <is>
          <t>430.40 USD</t>
        </is>
      </c>
      <c r="M150" s="33" t="inlineStr">
        <is>
          <t>Secondary - C - Manufacturing</t>
        </is>
      </c>
      <c r="N150" s="33" t="inlineStr">
        <is>
          <t>Medida fiscal/impositiva</t>
        </is>
      </c>
      <c r="O150" s="33" t="inlineStr">
        <is>
          <t>Spain - Venezuela, Bolivarian Republic of BIT (1995)</t>
        </is>
      </c>
      <c r="P150" s="33" t="inlineStr"/>
      <c r="Q150" s="33" t="inlineStr">
        <is>
          <t>Zuleta, E. - President; Grigera Naón, H. A. - Claimant; Derains, Y. - Respondent</t>
        </is>
      </c>
      <c r="R150" s="33" t="inlineStr">
        <is>
          <t>ICSID annulment proceedings</t>
        </is>
      </c>
      <c r="S150" s="33" t="inlineStr">
        <is>
          <t>Award/decision upheld ICSID annulment proceedings</t>
        </is>
      </c>
      <c r="T150" s="33" t="inlineStr">
        <is>
          <t>Indeterminado</t>
        </is>
      </c>
      <c r="U150" s="33" t="inlineStr">
        <is>
          <t>http://www.italaw.com/cases/2127</t>
        </is>
      </c>
      <c r="V150" s="33" t="inlineStr">
        <is>
          <t>Sí</t>
        </is>
      </c>
    </row>
    <row r="151">
      <c r="A151" s="32" t="n">
        <v>150</v>
      </c>
      <c r="B151" s="32" t="inlineStr">
        <is>
          <t>van Riet v. Croatia</t>
        </is>
      </c>
      <c r="C151" s="32" t="inlineStr">
        <is>
          <t>Chantal C. van Riet, Christopher van Riet and Lieven J. van Riet v. Republic of Croatia (ICSID Case No. ARB/13/12)</t>
        </is>
      </c>
      <c r="D151" s="32" t="inlineStr">
        <is>
          <t>Croatia</t>
        </is>
      </c>
      <c r="E151" s="32" t="inlineStr">
        <is>
          <t>Europa Occidental</t>
        </is>
      </c>
      <c r="F151" s="32" t="inlineStr">
        <is>
          <t>Belgium</t>
        </is>
      </c>
      <c r="G151" s="32" t="n">
        <v>2013</v>
      </c>
      <c r="H151" s="32" t="inlineStr">
        <is>
          <t>No - ganó el Estado</t>
        </is>
      </c>
      <c r="I151" s="32" t="inlineStr">
        <is>
          <t>No</t>
        </is>
      </c>
      <c r="J151" s="32" t="inlineStr">
        <is>
          <t>Expropiación | NMF - Nación Más Favorecida | Trato Nacional</t>
        </is>
      </c>
      <c r="K151" s="32" t="inlineStr">
        <is>
          <t>30.00 USD</t>
        </is>
      </c>
      <c r="L151" s="32" t="inlineStr"/>
      <c r="M151" s="32" t="inlineStr">
        <is>
          <t>Tertiary - L - Real estate activities</t>
        </is>
      </c>
      <c r="N151" s="32" t="inlineStr">
        <is>
          <t>Nacionalización</t>
        </is>
      </c>
      <c r="O151" s="32" t="inlineStr">
        <is>
          <t>BLEU (Belgium-Luxembourg Economic Union) - Croatia BIT (2001)</t>
        </is>
      </c>
      <c r="P151" s="32" t="inlineStr"/>
      <c r="Q151" s="32" t="inlineStr">
        <is>
          <t>Böckstiegel, K.-H. - President; Fadlallah, I. - Claimant; Landau, T. - Respondent</t>
        </is>
      </c>
      <c r="R151" s="32" t="inlineStr"/>
      <c r="S151" s="32" t="inlineStr"/>
      <c r="T151" s="32" t="inlineStr">
        <is>
          <t>Indeterminado</t>
        </is>
      </c>
      <c r="U151" s="32" t="inlineStr">
        <is>
          <t>http://www.italaw.com/cases/2160</t>
        </is>
      </c>
      <c r="V151" s="32" t="inlineStr">
        <is>
          <t>Sí</t>
        </is>
      </c>
    </row>
    <row r="152">
      <c r="A152" s="32" t="n">
        <v>151</v>
      </c>
      <c r="B152" s="32" t="inlineStr">
        <is>
          <t>Accession Mezzanine v. Hungary</t>
        </is>
      </c>
      <c r="C152" s="32" t="inlineStr">
        <is>
          <t>Accession Mezzanine Capital L.P. and Danubius Kereskedöház Vagyonkezelö Zrt. v. Hungary (ICSID Case No. ARB/12/3)</t>
        </is>
      </c>
      <c r="D152" s="32" t="inlineStr">
        <is>
          <t>Hungary</t>
        </is>
      </c>
      <c r="E152" s="32" t="inlineStr">
        <is>
          <t>Europa Occidental</t>
        </is>
      </c>
      <c r="F152" s="32" t="inlineStr">
        <is>
          <t>United Kingdom</t>
        </is>
      </c>
      <c r="G152" s="32" t="n">
        <v>2012</v>
      </c>
      <c r="H152" s="32" t="inlineStr">
        <is>
          <t>No - ganó el Estado</t>
        </is>
      </c>
      <c r="I152" s="32" t="inlineStr">
        <is>
          <t>No</t>
        </is>
      </c>
      <c r="J152" s="32" t="inlineStr">
        <is>
          <t>Expropiación</t>
        </is>
      </c>
      <c r="K152" s="32" t="inlineStr"/>
      <c r="L152" s="32" t="inlineStr"/>
      <c r="M152" s="32" t="inlineStr">
        <is>
          <t>Tertiary - J - Information and communication</t>
        </is>
      </c>
      <c r="N152" s="32" t="inlineStr">
        <is>
          <t>Nacionalización</t>
        </is>
      </c>
      <c r="O152" s="32" t="inlineStr">
        <is>
          <t>Hungary - United Kingdom BIT (1987)</t>
        </is>
      </c>
      <c r="P152" s="32" t="inlineStr"/>
      <c r="Q152" s="32" t="inlineStr">
        <is>
          <t>Rovine, A. W. - President; Lalonde, M. - Claimant; Douglas, Z. - Respondent; McRae, D. M. - Respondent (replaced)</t>
        </is>
      </c>
      <c r="R152" s="32" t="inlineStr"/>
      <c r="S152" s="32" t="inlineStr"/>
      <c r="T152" s="32" t="inlineStr">
        <is>
          <t>Inglés</t>
        </is>
      </c>
      <c r="U152" s="32" t="inlineStr">
        <is>
          <t>http://www.italaw.com/cases/1765</t>
        </is>
      </c>
      <c r="V152" s="32" t="inlineStr">
        <is>
          <t>Sí</t>
        </is>
      </c>
    </row>
    <row r="153">
      <c r="A153" s="32" t="n">
        <v>152</v>
      </c>
      <c r="B153" s="32" t="inlineStr">
        <is>
          <t>Apotex v. USA (III)</t>
        </is>
      </c>
      <c r="C153" s="32" t="inlineStr">
        <is>
          <t>Apotex Holdings Inc. and Apotex Inc. v. United States of America (III) (ICSID Case No. ARB(AF)/12/1)</t>
        </is>
      </c>
      <c r="D153" s="32" t="inlineStr">
        <is>
          <t>United States of America</t>
        </is>
      </c>
      <c r="E153" s="32" t="inlineStr">
        <is>
          <t>América del Norte</t>
        </is>
      </c>
      <c r="F153" s="32" t="inlineStr">
        <is>
          <t>Canada</t>
        </is>
      </c>
      <c r="G153" s="32" t="n">
        <v>2012</v>
      </c>
      <c r="H153" s="32" t="inlineStr">
        <is>
          <t>No - ganó el Estado</t>
        </is>
      </c>
      <c r="I153" s="32" t="inlineStr">
        <is>
          <t>No</t>
        </is>
      </c>
      <c r="J153" s="32" t="inlineStr">
        <is>
          <t>TJE - Trato Justo y Equitativo</t>
        </is>
      </c>
      <c r="K153" s="32" t="inlineStr">
        <is>
          <t>1500.00 USD</t>
        </is>
      </c>
      <c r="L153" s="32" t="inlineStr"/>
      <c r="M153" s="32" t="inlineStr">
        <is>
          <t>Secondary - C - Manufacturing</t>
        </is>
      </c>
      <c r="N153" s="32" t="inlineStr"/>
      <c r="O153" s="32" t="inlineStr">
        <is>
          <t>NAFTA (1992)</t>
        </is>
      </c>
      <c r="P153" s="32" t="inlineStr"/>
      <c r="Q153" s="32" t="inlineStr">
        <is>
          <t>Veeder, V. V. - President; Rowley, J. W. - Claimant; Crook, J. R. - Respondent</t>
        </is>
      </c>
      <c r="R153" s="32" t="inlineStr"/>
      <c r="S153" s="32" t="inlineStr"/>
      <c r="T153" s="32" t="inlineStr">
        <is>
          <t>Inglés</t>
        </is>
      </c>
      <c r="U153" s="32" t="inlineStr">
        <is>
          <t>http://www.italaw.com/cases/1687</t>
        </is>
      </c>
      <c r="V153" s="32" t="inlineStr">
        <is>
          <t>Sí</t>
        </is>
      </c>
    </row>
    <row r="154">
      <c r="A154" s="32" t="n">
        <v>153</v>
      </c>
      <c r="B154" s="32" t="inlineStr">
        <is>
          <t>Blue Bank v. Venezuela</t>
        </is>
      </c>
      <c r="C154" s="32" t="inlineStr">
        <is>
          <t>Blue Bank International &amp; Trust (Barbados) Ltd. v. Bolivarian Republic of Venezuela (ICSID Case No. ARB/12/20)</t>
        </is>
      </c>
      <c r="D154" s="32" t="inlineStr">
        <is>
          <t>Venezuela, Bolivarian Republic of</t>
        </is>
      </c>
      <c r="E154" s="32" t="inlineStr">
        <is>
          <t>América del Sur</t>
        </is>
      </c>
      <c r="F154" s="32" t="inlineStr">
        <is>
          <t>Barbados</t>
        </is>
      </c>
      <c r="G154" s="32" t="n">
        <v>2012</v>
      </c>
      <c r="H154" s="32" t="inlineStr">
        <is>
          <t>No - ganó el Estado</t>
        </is>
      </c>
      <c r="I154" s="32" t="inlineStr">
        <is>
          <t>No</t>
        </is>
      </c>
      <c r="J154" s="32" t="inlineStr">
        <is>
          <t>TJE - Trato Justo y Equitativo</t>
        </is>
      </c>
      <c r="K154" s="32" t="inlineStr">
        <is>
          <t>200.00 USD</t>
        </is>
      </c>
      <c r="L154" s="32" t="inlineStr"/>
      <c r="M154" s="32" t="inlineStr">
        <is>
          <t>Tertiary - I - Accommodation and food service activities;
Tertiary - N - Administrative and support service activities</t>
        </is>
      </c>
      <c r="N154" s="32" t="inlineStr"/>
      <c r="O154" s="32" t="inlineStr">
        <is>
          <t>Barbados - Venezuela, Bolivarian Republic of BIT (1994)</t>
        </is>
      </c>
      <c r="P154" s="32" t="inlineStr"/>
      <c r="Q154" s="32" t="inlineStr">
        <is>
          <t>Söderlund, C. - President; Bermann, G. - Claimant; Alonso, J. M. - Claimant (replaced); Malintoppi, L. - Respondent; Torres Bernárdez, S. - Respondent (replaced)</t>
        </is>
      </c>
      <c r="R154" s="32" t="inlineStr">
        <is>
          <t>ICSID annulment proceedings</t>
        </is>
      </c>
      <c r="S154" s="32" t="inlineStr">
        <is>
          <t>Award/decision upheld ICSID annulment proceedings</t>
        </is>
      </c>
      <c r="T154" s="32" t="inlineStr">
        <is>
          <t>Inglés</t>
        </is>
      </c>
      <c r="U154" s="32" t="inlineStr">
        <is>
          <t>http://www.italaw.com/cases/1513</t>
        </is>
      </c>
      <c r="V154" s="32" t="inlineStr">
        <is>
          <t>Sí</t>
        </is>
      </c>
    </row>
    <row r="155">
      <c r="A155" s="32" t="n">
        <v>154</v>
      </c>
      <c r="B155" s="32" t="inlineStr">
        <is>
          <t>Çap and Sehil v. Turkmenistan</t>
        </is>
      </c>
      <c r="C155" s="32" t="inlineStr">
        <is>
          <t>Muhammet Çap &amp; Sehil Inşaat Endustri ve Ticaret Ltd. Sti. v. Turkmenistan (ICSID Case No. ARB/12/6)</t>
        </is>
      </c>
      <c r="D155" s="32" t="inlineStr">
        <is>
          <t>Turkmenistan</t>
        </is>
      </c>
      <c r="E155" s="32" t="inlineStr">
        <is>
          <t>Este Europa/Asia Central</t>
        </is>
      </c>
      <c r="F155" s="32" t="inlineStr">
        <is>
          <t>Türkiye</t>
        </is>
      </c>
      <c r="G155" s="32" t="n">
        <v>2012</v>
      </c>
      <c r="H155" s="32" t="inlineStr">
        <is>
          <t>No - ganó el Estado</t>
        </is>
      </c>
      <c r="I155" s="32" t="inlineStr">
        <is>
          <t>No</t>
        </is>
      </c>
      <c r="J155" s="32" t="inlineStr">
        <is>
          <t>TJE - Trato Justo y Equitativo | Expropiación | Protección y Seguridad Plenas | Cláusula Paraguas | NMF - Nación Más Favorecida</t>
        </is>
      </c>
      <c r="K155" s="32" t="inlineStr">
        <is>
          <t>413.00 USD</t>
        </is>
      </c>
      <c r="L155" s="32" t="inlineStr"/>
      <c r="M155" s="32" t="inlineStr">
        <is>
          <t>Tertiary - F - Construction</t>
        </is>
      </c>
      <c r="N155" s="32" t="inlineStr"/>
      <c r="O155" s="32" t="inlineStr">
        <is>
          <t>Turkey - Turkmenistan BIT (1992)</t>
        </is>
      </c>
      <c r="P155" s="32" t="inlineStr"/>
      <c r="Q155" s="32" t="inlineStr">
        <is>
          <t>Lew, J. D. M. - President; Hanotiau, B. - Claimant; Boisson de Chazournes, L. - Respondent</t>
        </is>
      </c>
      <c r="R155" s="32" t="inlineStr"/>
      <c r="S155" s="32" t="inlineStr"/>
      <c r="T155" s="32" t="inlineStr">
        <is>
          <t>Inglés</t>
        </is>
      </c>
      <c r="U155" s="32" t="inlineStr">
        <is>
          <t>http://www.italaw.com/cases/2036</t>
        </is>
      </c>
      <c r="V155" s="32" t="inlineStr">
        <is>
          <t>Sí</t>
        </is>
      </c>
    </row>
    <row r="156">
      <c r="A156" s="32" t="n">
        <v>155</v>
      </c>
      <c r="B156" s="32" t="inlineStr">
        <is>
          <t>Churchill Mining and Planet Mining v. Indonesia</t>
        </is>
      </c>
      <c r="C156" s="32" t="inlineStr">
        <is>
          <t>Churchill Mining and Planet Mining Pty Ltd v. Republic of Indonesia (ICSID Case No. ARB/12/40 and 12/14)</t>
        </is>
      </c>
      <c r="D156" s="32" t="inlineStr">
        <is>
          <t>Indonesia</t>
        </is>
      </c>
      <c r="E156" s="32" t="inlineStr">
        <is>
          <t>Asia Sur-Este/Pacífico</t>
        </is>
      </c>
      <c r="F156" s="32" t="inlineStr">
        <is>
          <t>United Kingdom;
Australia</t>
        </is>
      </c>
      <c r="G156" s="32" t="n">
        <v>2012</v>
      </c>
      <c r="H156" s="32" t="inlineStr">
        <is>
          <t>No - ganó el Estado</t>
        </is>
      </c>
      <c r="I156" s="32" t="inlineStr">
        <is>
          <t>No</t>
        </is>
      </c>
      <c r="J156" s="32" t="inlineStr">
        <is>
          <t>TJE - Trato Justo y Equitativo | Expropiación</t>
        </is>
      </c>
      <c r="K156" s="32" t="inlineStr">
        <is>
          <t>1315.00 USD</t>
        </is>
      </c>
      <c r="L156" s="32" t="inlineStr"/>
      <c r="M156" s="32" t="inlineStr">
        <is>
          <t>Primary - B - Mining and quarrying</t>
        </is>
      </c>
      <c r="N156" s="32" t="inlineStr">
        <is>
          <t>Decreto/Reglamento | Medida legislativa | Revocación de licencia</t>
        </is>
      </c>
      <c r="O156" s="32" t="inlineStr">
        <is>
          <t>Indonesia - United Kingdom BIT (1976);
Australia - Indonesia BIT (1992)</t>
        </is>
      </c>
      <c r="P156" s="32" t="inlineStr"/>
      <c r="Q156" s="32" t="inlineStr">
        <is>
          <t>Kaufmann-Kohler, G. - President; van den Berg, A. J. - Claimant; Hwang, M. - Respondent</t>
        </is>
      </c>
      <c r="R156" s="32" t="inlineStr">
        <is>
          <t>ICSID annulment proceedings</t>
        </is>
      </c>
      <c r="S156" s="32" t="inlineStr">
        <is>
          <t>Award/decision upheld ICSID annulment proceedings</t>
        </is>
      </c>
      <c r="T156" s="32" t="inlineStr">
        <is>
          <t>Inglés</t>
        </is>
      </c>
      <c r="U156" s="32" t="inlineStr">
        <is>
          <t>http://www.italaw.com/cases/1479</t>
        </is>
      </c>
      <c r="V156" s="32" t="inlineStr">
        <is>
          <t>Sí</t>
        </is>
      </c>
    </row>
    <row r="157">
      <c r="A157" s="33" t="n">
        <v>156</v>
      </c>
      <c r="B157" s="33" t="inlineStr">
        <is>
          <t>Dan Cake v. Hungary</t>
        </is>
      </c>
      <c r="C157" s="33" t="inlineStr">
        <is>
          <t>Dan Cake (Portugal) S.A. v. Hungary (ICSID Case No. ARB/12/9)</t>
        </is>
      </c>
      <c r="D157" s="33" t="inlineStr">
        <is>
          <t>Hungary</t>
        </is>
      </c>
      <c r="E157" s="33" t="inlineStr">
        <is>
          <t>Europa Occidental</t>
        </is>
      </c>
      <c r="F157" s="33" t="inlineStr">
        <is>
          <t>Portugal</t>
        </is>
      </c>
      <c r="G157" s="33" t="n">
        <v>2012</v>
      </c>
      <c r="H157" s="33" t="inlineStr">
        <is>
          <t>Sí con daños</t>
        </is>
      </c>
      <c r="I157" s="33" t="inlineStr">
        <is>
          <t>Sí</t>
        </is>
      </c>
      <c r="J157" s="33" t="inlineStr">
        <is>
          <t>TJE - Trato Justo y Equitativo</t>
        </is>
      </c>
      <c r="K157" s="33" t="inlineStr">
        <is>
          <t>47.90 EUR (54.50 USD)</t>
        </is>
      </c>
      <c r="L157" s="33" t="inlineStr">
        <is>
          <t>5.20 EUR (6.20 USD)</t>
        </is>
      </c>
      <c r="M157" s="33" t="inlineStr">
        <is>
          <t>Secondary - C - Manufacturing</t>
        </is>
      </c>
      <c r="N157" s="33" t="inlineStr"/>
      <c r="O157" s="33" t="inlineStr">
        <is>
          <t>Hungary - Portugal BIT (1992)</t>
        </is>
      </c>
      <c r="P157" s="33" t="inlineStr"/>
      <c r="Q157" s="33" t="inlineStr">
        <is>
          <t>Mayer, P. - President; Paulsson, J. - Claimant (replaced); Schill, S. - Claimant; Landau, T. - Respondent</t>
        </is>
      </c>
      <c r="R157" s="33" t="inlineStr">
        <is>
          <t>ICSID annulment proceedings</t>
        </is>
      </c>
      <c r="S157" s="33" t="inlineStr">
        <is>
          <t>Award/decision upheld ICSID annulment proceedings</t>
        </is>
      </c>
      <c r="T157" s="33" t="inlineStr">
        <is>
          <t>Inglés</t>
        </is>
      </c>
      <c r="U157" s="33" t="inlineStr">
        <is>
          <t>http://www.italaw.com/cases/1937</t>
        </is>
      </c>
      <c r="V157" s="33" t="inlineStr">
        <is>
          <t>Sí</t>
        </is>
      </c>
    </row>
    <row r="158">
      <c r="A158" s="33" t="n">
        <v>157</v>
      </c>
      <c r="B158" s="33" t="inlineStr">
        <is>
          <t>E energija v. Latvia</t>
        </is>
      </c>
      <c r="C158" s="33" t="inlineStr">
        <is>
          <t>UAB E energija (Lithuania) v. Republic of Latvia (ICSID Case No. ARB/12/33)</t>
        </is>
      </c>
      <c r="D158" s="33" t="inlineStr">
        <is>
          <t>Latvia</t>
        </is>
      </c>
      <c r="E158" s="33" t="inlineStr">
        <is>
          <t>Europa Occidental</t>
        </is>
      </c>
      <c r="F158" s="33" t="inlineStr">
        <is>
          <t>Lithuania</t>
        </is>
      </c>
      <c r="G158" s="33" t="n">
        <v>2012</v>
      </c>
      <c r="H158" s="33" t="inlineStr">
        <is>
          <t>Sí con daños</t>
        </is>
      </c>
      <c r="I158" s="33" t="inlineStr">
        <is>
          <t>Sí</t>
        </is>
      </c>
      <c r="J158" s="33" t="inlineStr"/>
      <c r="K158" s="33" t="inlineStr">
        <is>
          <t>9.80 EUR (11.70 USD)</t>
        </is>
      </c>
      <c r="L158" s="33" t="inlineStr">
        <is>
          <t>1.60 EUR (1.90 USD)</t>
        </is>
      </c>
      <c r="M158" s="33" t="inlineStr">
        <is>
          <t>Tertiary - D - Electricity, gas, steam and air conditioning supply</t>
        </is>
      </c>
      <c r="N158" s="33" t="inlineStr"/>
      <c r="O158" s="33" t="inlineStr">
        <is>
          <t>Latvia - Lithuania BIT (1996)</t>
        </is>
      </c>
      <c r="P158" s="33" t="inlineStr"/>
      <c r="Q158" s="33" t="inlineStr">
        <is>
          <t>Patocchi, P. M. - President; Wordsworth, S. - Claimant; Reinisch, A. - Respondent</t>
        </is>
      </c>
      <c r="R158" s="33" t="inlineStr">
        <is>
          <t>ICSID annulment proceedings</t>
        </is>
      </c>
      <c r="S158" s="33" t="inlineStr">
        <is>
          <t>Award/decision upheld ICSID annulment proceedings</t>
        </is>
      </c>
      <c r="T158" s="33" t="inlineStr">
        <is>
          <t>Inglés</t>
        </is>
      </c>
      <c r="U158" s="33" t="inlineStr">
        <is>
          <t>http://www.italaw.com/cases/2095</t>
        </is>
      </c>
      <c r="V158" s="33" t="inlineStr">
        <is>
          <t>Sí</t>
        </is>
      </c>
    </row>
    <row r="159">
      <c r="A159" s="32" t="n">
        <v>158</v>
      </c>
      <c r="B159" s="32" t="inlineStr">
        <is>
          <t>Emmis v. Hungary</t>
        </is>
      </c>
      <c r="C159" s="32" t="inlineStr">
        <is>
          <t>Emmis International Holding, B.V., Emmis Radio Operating, B.V., MEM Magyar Electronic Media Kereskedelmi és Szolgáltató Kft. v. Hungary (ICSID Case No. ARB/12/2)</t>
        </is>
      </c>
      <c r="D159" s="32" t="inlineStr">
        <is>
          <t>Hungary</t>
        </is>
      </c>
      <c r="E159" s="32" t="inlineStr">
        <is>
          <t>Europa Occidental</t>
        </is>
      </c>
      <c r="F159" s="32" t="inlineStr">
        <is>
          <t>Netherlands;
Switzerland</t>
        </is>
      </c>
      <c r="G159" s="32" t="n">
        <v>2012</v>
      </c>
      <c r="H159" s="32" t="inlineStr">
        <is>
          <t>No - ganó el Estado</t>
        </is>
      </c>
      <c r="I159" s="32" t="inlineStr">
        <is>
          <t>No</t>
        </is>
      </c>
      <c r="J159" s="32" t="inlineStr">
        <is>
          <t>Expropiación</t>
        </is>
      </c>
      <c r="K159" s="32" t="inlineStr"/>
      <c r="L159" s="32" t="inlineStr"/>
      <c r="M159" s="32" t="inlineStr">
        <is>
          <t>Tertiary - J - Information and communication</t>
        </is>
      </c>
      <c r="N159" s="32" t="inlineStr"/>
      <c r="O159" s="32" t="inlineStr">
        <is>
          <t>Hungary - Netherlands BIT (1987);
Hungary - Switzerland BIT (1988)</t>
        </is>
      </c>
      <c r="P159" s="32" t="inlineStr"/>
      <c r="Q159" s="32" t="inlineStr">
        <is>
          <t>McLachlan, C. A. - President; Lalonde, M. - Claimant; Thomas, J. C. - Respondent</t>
        </is>
      </c>
      <c r="R159" s="32" t="inlineStr"/>
      <c r="S159" s="32" t="inlineStr"/>
      <c r="T159" s="32" t="inlineStr">
        <is>
          <t>Inglés</t>
        </is>
      </c>
      <c r="U159" s="32" t="inlineStr">
        <is>
          <t>http://www.italaw.com/cases/384</t>
        </is>
      </c>
      <c r="V159" s="32" t="inlineStr">
        <is>
          <t>Sí</t>
        </is>
      </c>
    </row>
    <row r="160">
      <c r="A160" s="32" t="n">
        <v>159</v>
      </c>
      <c r="B160" s="32" t="inlineStr">
        <is>
          <t>Fabrica de Vidrios v. Venezuela (I)</t>
        </is>
      </c>
      <c r="C160" s="32" t="inlineStr">
        <is>
          <t>Fábrica de Vidrios Los Andes, C.A. and Owens-Illinois de Venezuela, C.A. v. Bolivarian Republic of Venezuela (I) (ICSID Case No. ARB/12/21)</t>
        </is>
      </c>
      <c r="D160" s="32" t="inlineStr">
        <is>
          <t>Venezuela, Bolivarian Republic of</t>
        </is>
      </c>
      <c r="E160" s="32" t="inlineStr">
        <is>
          <t>América del Sur</t>
        </is>
      </c>
      <c r="F160" s="32" t="inlineStr">
        <is>
          <t>Netherlands</t>
        </is>
      </c>
      <c r="G160" s="32" t="n">
        <v>2012</v>
      </c>
      <c r="H160" s="32" t="inlineStr">
        <is>
          <t>No - ganó el Estado</t>
        </is>
      </c>
      <c r="I160" s="32" t="inlineStr">
        <is>
          <t>No</t>
        </is>
      </c>
      <c r="J160" s="32" t="inlineStr">
        <is>
          <t>TJE - Trato Justo y Equitativo | Expropiación</t>
        </is>
      </c>
      <c r="K160" s="32" t="inlineStr">
        <is>
          <t>1033.10 USD</t>
        </is>
      </c>
      <c r="L160" s="32" t="inlineStr"/>
      <c r="M160" s="32" t="inlineStr">
        <is>
          <t>Secondary - C - Manufacturing</t>
        </is>
      </c>
      <c r="N160" s="32" t="inlineStr"/>
      <c r="O160" s="32" t="inlineStr">
        <is>
          <t>Netherlands - Venezuela, Bolivarian Republic of BIT (1991)</t>
        </is>
      </c>
      <c r="P160" s="32" t="inlineStr"/>
      <c r="Q160" s="32" t="inlineStr">
        <is>
          <t>Shin, H.-T. - President; Fortier, L. Y. - Claimant; Mourre, A. - Respondent (replaced); Douglas, Z. - Respondent</t>
        </is>
      </c>
      <c r="R160" s="32" t="inlineStr">
        <is>
          <t>ICSID annulment proceedings</t>
        </is>
      </c>
      <c r="S160" s="32" t="inlineStr">
        <is>
          <t>Award/decision upheld ICSID annulment proceedings</t>
        </is>
      </c>
      <c r="T160" s="32" t="inlineStr">
        <is>
          <t>Inglés</t>
        </is>
      </c>
      <c r="U160" s="32" t="inlineStr">
        <is>
          <t>http://www.italaw.com/cases/1941</t>
        </is>
      </c>
      <c r="V160" s="32" t="inlineStr">
        <is>
          <t>Sí</t>
        </is>
      </c>
    </row>
    <row r="161">
      <c r="A161" s="33" t="n">
        <v>160</v>
      </c>
      <c r="B161" s="33" t="inlineStr">
        <is>
          <t>Gavazzi v. Romania</t>
        </is>
      </c>
      <c r="C161" s="33" t="inlineStr">
        <is>
          <t>Marco Gavazzi and Stefano Gavazzi v. Romania (ICSID Case No. ARB/12/25)</t>
        </is>
      </c>
      <c r="D161" s="33" t="inlineStr">
        <is>
          <t>Romania</t>
        </is>
      </c>
      <c r="E161" s="33" t="inlineStr">
        <is>
          <t>Europa Occidental</t>
        </is>
      </c>
      <c r="F161" s="33" t="inlineStr">
        <is>
          <t>Italy</t>
        </is>
      </c>
      <c r="G161" s="33" t="n">
        <v>2012</v>
      </c>
      <c r="H161" s="33" t="inlineStr">
        <is>
          <t>Sí con daños</t>
        </is>
      </c>
      <c r="I161" s="33" t="inlineStr">
        <is>
          <t>Sí</t>
        </is>
      </c>
      <c r="J161" s="33" t="inlineStr">
        <is>
          <t>TJE - Trato Justo y Equitativo</t>
        </is>
      </c>
      <c r="K161" s="33" t="inlineStr">
        <is>
          <t>30.00 USD</t>
        </is>
      </c>
      <c r="L161" s="33" t="inlineStr"/>
      <c r="M161" s="33" t="inlineStr">
        <is>
          <t>Secondary - C - Manufacturing</t>
        </is>
      </c>
      <c r="N161" s="33" t="inlineStr"/>
      <c r="O161" s="33" t="inlineStr">
        <is>
          <t>Italy - Romania BIT (1990)</t>
        </is>
      </c>
      <c r="P161" s="33" t="inlineStr"/>
      <c r="Q161" s="33" t="inlineStr">
        <is>
          <t>van Houtte, H. - President; Veeder, V. V. - Claimant; Rubino-Sammartano, M. - Respondent</t>
        </is>
      </c>
      <c r="R161" s="33" t="inlineStr"/>
      <c r="S161" s="33" t="inlineStr"/>
      <c r="T161" s="33" t="inlineStr">
        <is>
          <t>Indeterminado</t>
        </is>
      </c>
      <c r="U161" s="33" t="inlineStr">
        <is>
          <t>http://www.italaw.com/cases/2026</t>
        </is>
      </c>
      <c r="V161" s="33" t="inlineStr">
        <is>
          <t>Sí</t>
        </is>
      </c>
    </row>
    <row r="162">
      <c r="A162" s="33" t="n">
        <v>161</v>
      </c>
      <c r="B162" s="33" t="inlineStr">
        <is>
          <t>Gavrilovic v. Croatia</t>
        </is>
      </c>
      <c r="C162" s="33" t="inlineStr">
        <is>
          <t>Georg Gavrilovic and Gavrilovic d.o.o. v. Republic of Croatia (ICSID Case No. ARB/12/39)</t>
        </is>
      </c>
      <c r="D162" s="33" t="inlineStr">
        <is>
          <t>Croatia</t>
        </is>
      </c>
      <c r="E162" s="33" t="inlineStr">
        <is>
          <t>Europa Occidental</t>
        </is>
      </c>
      <c r="F162" s="33" t="inlineStr">
        <is>
          <t>Austria</t>
        </is>
      </c>
      <c r="G162" s="33" t="n">
        <v>2012</v>
      </c>
      <c r="H162" s="33" t="inlineStr">
        <is>
          <t>Sí con daños</t>
        </is>
      </c>
      <c r="I162" s="33" t="inlineStr">
        <is>
          <t>Sí</t>
        </is>
      </c>
      <c r="J162" s="33" t="inlineStr">
        <is>
          <t>TJE - Trato Justo y Equitativo | Expropiación</t>
        </is>
      </c>
      <c r="K162" s="33" t="inlineStr">
        <is>
          <t>198.20 EUR (231.80 USD)</t>
        </is>
      </c>
      <c r="L162" s="33" t="inlineStr">
        <is>
          <t>20.20 HRK (3.20 USD)</t>
        </is>
      </c>
      <c r="M162" s="33" t="inlineStr">
        <is>
          <t>Secondary - C - Manufacturing</t>
        </is>
      </c>
      <c r="N162" s="33" t="inlineStr">
        <is>
          <t>Denegación de permiso</t>
        </is>
      </c>
      <c r="O162" s="33" t="inlineStr">
        <is>
          <t>Austria - Croatia BIT (1997)</t>
        </is>
      </c>
      <c r="P162" s="33" t="inlineStr"/>
      <c r="Q162" s="33" t="inlineStr">
        <is>
          <t>Pryles, M. C. - President; Alexandrov, S. A. - Claimant; Scherer, M. - Respondent (replaced); Thomas, J. C. - Respondent</t>
        </is>
      </c>
      <c r="R162" s="33" t="inlineStr"/>
      <c r="S162" s="33" t="inlineStr"/>
      <c r="T162" s="33" t="inlineStr">
        <is>
          <t>Inglés</t>
        </is>
      </c>
      <c r="U162" s="33" t="inlineStr">
        <is>
          <t>http://www.italaw.com/cases/1966</t>
        </is>
      </c>
      <c r="V162" s="33" t="inlineStr">
        <is>
          <t>Sí</t>
        </is>
      </c>
    </row>
    <row r="163">
      <c r="A163" s="32" t="n">
        <v>162</v>
      </c>
      <c r="B163" s="32" t="inlineStr">
        <is>
          <t>Grupo Francisco v. Equatorial Guinea</t>
        </is>
      </c>
      <c r="C163" s="32" t="inlineStr">
        <is>
          <t>Grupo Francisco Hernando Contreras v. Republic of Equatorial Guinea (ICSID Case No. ARB(AF)/12/2)</t>
        </is>
      </c>
      <c r="D163" s="32" t="inlineStr">
        <is>
          <t>Equatorial Guinea</t>
        </is>
      </c>
      <c r="E163" s="32" t="inlineStr">
        <is>
          <t>Sin clasificar</t>
        </is>
      </c>
      <c r="F163" s="32" t="inlineStr">
        <is>
          <t>Spain</t>
        </is>
      </c>
      <c r="G163" s="32" t="n">
        <v>2012</v>
      </c>
      <c r="H163" s="32" t="inlineStr">
        <is>
          <t>No - ganó el Estado</t>
        </is>
      </c>
      <c r="I163" s="32" t="inlineStr">
        <is>
          <t>No</t>
        </is>
      </c>
      <c r="J163" s="32" t="inlineStr"/>
      <c r="K163" s="32" t="inlineStr">
        <is>
          <t>450.00 EUR (600.00 USD)</t>
        </is>
      </c>
      <c r="L163" s="32" t="inlineStr"/>
      <c r="M163" s="32" t="inlineStr">
        <is>
          <t>Tertiary - F - Construction</t>
        </is>
      </c>
      <c r="N163" s="32" t="inlineStr">
        <is>
          <t>Medida fiscal/impositiva</t>
        </is>
      </c>
      <c r="O163" s="32" t="inlineStr">
        <is>
          <t>Equatorial Guinea - Spain BIT (2003)</t>
        </is>
      </c>
      <c r="P163" s="32" t="inlineStr"/>
      <c r="Q163" s="32" t="inlineStr">
        <is>
          <t>Sepúlveda Amor, B. - President; Orrego Vicuña, F. - Claimant; Vinuesa, R. E. - Respondent</t>
        </is>
      </c>
      <c r="R163" s="32" t="inlineStr"/>
      <c r="S163" s="32" t="inlineStr"/>
      <c r="T163" s="32" t="inlineStr">
        <is>
          <t>Indeterminado</t>
        </is>
      </c>
      <c r="U163" s="32" t="inlineStr">
        <is>
          <t>http://www.italaw.com/cases/1968</t>
        </is>
      </c>
      <c r="V163" s="32" t="inlineStr">
        <is>
          <t>Sí</t>
        </is>
      </c>
    </row>
    <row r="164">
      <c r="A164" s="32" t="n">
        <v>163</v>
      </c>
      <c r="B164" s="32" t="inlineStr">
        <is>
          <t>Guardian Fiduciary v. Macedonia</t>
        </is>
      </c>
      <c r="C164" s="32" t="inlineStr">
        <is>
          <t>Guardian Fiduciary Trust, Ltd, f/k/a Capital Conservator Savings &amp; Loan, Ltd v. Macedonia, former Yugoslav Republic of (ICSID Case No. ARB/12/31)</t>
        </is>
      </c>
      <c r="D164" s="32" t="inlineStr">
        <is>
          <t>North Macedonia</t>
        </is>
      </c>
      <c r="E164" s="32" t="inlineStr">
        <is>
          <t>Europa Occidental</t>
        </is>
      </c>
      <c r="F164" s="32" t="inlineStr">
        <is>
          <t>Netherlands</t>
        </is>
      </c>
      <c r="G164" s="32" t="n">
        <v>2012</v>
      </c>
      <c r="H164" s="32" t="inlineStr">
        <is>
          <t>No - ganó el Estado</t>
        </is>
      </c>
      <c r="I164" s="32" t="inlineStr">
        <is>
          <t>No</t>
        </is>
      </c>
      <c r="J164" s="32" t="inlineStr"/>
      <c r="K164" s="32" t="inlineStr">
        <is>
          <t>20.00 USD</t>
        </is>
      </c>
      <c r="L164" s="32" t="inlineStr"/>
      <c r="M164" s="32" t="inlineStr">
        <is>
          <t>Tertiary - K - Financial and insurance activities</t>
        </is>
      </c>
      <c r="N164" s="32" t="inlineStr"/>
      <c r="O164" s="32" t="inlineStr">
        <is>
          <t>Macedonia, The former Yugoslav Republic of - Netherlands BIT (1998)</t>
        </is>
      </c>
      <c r="P164" s="32" t="inlineStr">
        <is>
          <t>100% (wholly owned)</t>
        </is>
      </c>
      <c r="Q164" s="32" t="inlineStr">
        <is>
          <t>Heiskanen, V. - President; Bucher, A. - Claimant; Stern, B. - Respondent</t>
        </is>
      </c>
      <c r="R164" s="32" t="inlineStr"/>
      <c r="S164" s="32" t="inlineStr"/>
      <c r="T164" s="32" t="inlineStr">
        <is>
          <t>Inglés</t>
        </is>
      </c>
      <c r="U164" s="32" t="inlineStr">
        <is>
          <t>http://www.italaw.com/cases/1970</t>
        </is>
      </c>
      <c r="V164" s="32" t="inlineStr">
        <is>
          <t>Sí</t>
        </is>
      </c>
    </row>
    <row r="165">
      <c r="A165" s="32" t="n">
        <v>164</v>
      </c>
      <c r="B165" s="32" t="inlineStr">
        <is>
          <t>IGB v. Spain</t>
        </is>
      </c>
      <c r="C165" s="32" t="inlineStr">
        <is>
          <t>Inversión y Gestión de Bienes, IGB, S.L. and IGB18 Las Rozas, S.L. v. Kingdom of Spain (ICSID Case No. ARB/12/17)</t>
        </is>
      </c>
      <c r="D165" s="32" t="inlineStr">
        <is>
          <t>Spain</t>
        </is>
      </c>
      <c r="E165" s="32" t="inlineStr">
        <is>
          <t>Europa Occidental</t>
        </is>
      </c>
      <c r="F165" s="32" t="inlineStr">
        <is>
          <t>Venezuela, Bolivarian Republic of</t>
        </is>
      </c>
      <c r="G165" s="32" t="n">
        <v>2012</v>
      </c>
      <c r="H165" s="32" t="inlineStr">
        <is>
          <t>No - ganó el Estado</t>
        </is>
      </c>
      <c r="I165" s="32" t="inlineStr">
        <is>
          <t>No</t>
        </is>
      </c>
      <c r="J165" s="32" t="inlineStr">
        <is>
          <t>TJE - Trato Justo y Equitativo</t>
        </is>
      </c>
      <c r="K165" s="32" t="inlineStr">
        <is>
          <t>25.00 EUR (30.70 USD)</t>
        </is>
      </c>
      <c r="L165" s="32" t="inlineStr"/>
      <c r="M165" s="32" t="inlineStr">
        <is>
          <t>Tertiary - F - Construction;
Tertiary - L - Real estate activities</t>
        </is>
      </c>
      <c r="N165" s="32" t="inlineStr"/>
      <c r="O165" s="32" t="inlineStr">
        <is>
          <t>Spain - Venezuela, Bolivarian Republic of BIT (1995)</t>
        </is>
      </c>
      <c r="P165" s="32" t="inlineStr"/>
      <c r="Q165" s="32" t="inlineStr">
        <is>
          <t>Oreamuno Blanco, R. - Sole arbitrator</t>
        </is>
      </c>
      <c r="R165" s="32" t="inlineStr"/>
      <c r="S165" s="32" t="inlineStr"/>
      <c r="T165" s="32" t="inlineStr">
        <is>
          <t>Español</t>
        </is>
      </c>
      <c r="U165" s="32" t="inlineStr">
        <is>
          <t>http://www.italaw.com/cases/1972</t>
        </is>
      </c>
      <c r="V165" s="32" t="inlineStr">
        <is>
          <t>Sí</t>
        </is>
      </c>
    </row>
    <row r="166">
      <c r="A166" s="32" t="n">
        <v>165</v>
      </c>
      <c r="B166" s="32" t="inlineStr">
        <is>
          <t>Lao Holdings v. Laos (I)</t>
        </is>
      </c>
      <c r="C166" s="32" t="inlineStr">
        <is>
          <t>Lao Holdings N.V. v. Lao People’s Democratic Republic (I) (ICSID Case No. ARB(AF)/12/6)</t>
        </is>
      </c>
      <c r="D166" s="32" t="inlineStr">
        <is>
          <t>Lao People's Democratic Republic</t>
        </is>
      </c>
      <c r="E166" s="32" t="inlineStr">
        <is>
          <t>Sin clasificar</t>
        </is>
      </c>
      <c r="F166" s="32" t="inlineStr">
        <is>
          <t>Netherlands</t>
        </is>
      </c>
      <c r="G166" s="32" t="n">
        <v>2012</v>
      </c>
      <c r="H166" s="32" t="inlineStr">
        <is>
          <t>No - ganó el Estado</t>
        </is>
      </c>
      <c r="I166" s="32" t="inlineStr">
        <is>
          <t>No</t>
        </is>
      </c>
      <c r="J166" s="32" t="inlineStr">
        <is>
          <t>Expropiación</t>
        </is>
      </c>
      <c r="K166" s="32" t="inlineStr">
        <is>
          <t>1000.00 USD</t>
        </is>
      </c>
      <c r="L166" s="32" t="inlineStr"/>
      <c r="M166" s="32" t="inlineStr">
        <is>
          <t>Tertiary - I - Accommodation and food service activities;
Tertiary - R - Arts, entertainment and recreation</t>
        </is>
      </c>
      <c r="N166" s="32" t="inlineStr"/>
      <c r="O166" s="32" t="inlineStr">
        <is>
          <t>Lao People's Democratic Republic - Netherlands BIT (2003)</t>
        </is>
      </c>
      <c r="P166" s="32" t="inlineStr">
        <is>
          <t>30% interest</t>
        </is>
      </c>
      <c r="Q166" s="32" t="inlineStr">
        <is>
          <t>Binnie, I. - President; Hanotiau, B. - Claimant; Stern, B. - Respondent</t>
        </is>
      </c>
      <c r="R166" s="32" t="inlineStr">
        <is>
          <t>Judicial review by national courts;
Judicial review by national courts</t>
        </is>
      </c>
      <c r="S166" s="32" t="inlineStr">
        <is>
          <t>Award/decision upheld Judicial review by national courts;
Award/decision upheld Judicial review by national courts</t>
        </is>
      </c>
      <c r="T166" s="32" t="inlineStr">
        <is>
          <t>Inglés</t>
        </is>
      </c>
      <c r="U166" s="32" t="inlineStr">
        <is>
          <t>http://www.italaw.com/cases/2020</t>
        </is>
      </c>
      <c r="V166" s="32" t="inlineStr">
        <is>
          <t>Sí</t>
        </is>
      </c>
    </row>
    <row r="167">
      <c r="A167" s="33" t="n">
        <v>166</v>
      </c>
      <c r="B167" s="33" t="inlineStr">
        <is>
          <t>Lone Star and others v. Korea</t>
        </is>
      </c>
      <c r="C167" s="33" t="inlineStr">
        <is>
          <t>LSF-KEB Holdings SCA and others v. Republic of Korea (ICSID Case No. ARB/12/37)</t>
        </is>
      </c>
      <c r="D167" s="33" t="inlineStr">
        <is>
          <t>Korea, Republic of</t>
        </is>
      </c>
      <c r="E167" s="33" t="inlineStr">
        <is>
          <t>Sin clasificar</t>
        </is>
      </c>
      <c r="F167" s="33" t="inlineStr">
        <is>
          <t>Belgium;
Luxembourg</t>
        </is>
      </c>
      <c r="G167" s="33" t="n">
        <v>2012</v>
      </c>
      <c r="H167" s="33" t="inlineStr">
        <is>
          <t>Sí con daños</t>
        </is>
      </c>
      <c r="I167" s="33" t="inlineStr">
        <is>
          <t>Sí</t>
        </is>
      </c>
      <c r="J167" s="33" t="inlineStr"/>
      <c r="K167" s="33" t="inlineStr">
        <is>
          <t>4700.00 USD</t>
        </is>
      </c>
      <c r="L167" s="33" t="inlineStr">
        <is>
          <t>216.00 USD</t>
        </is>
      </c>
      <c r="M167" s="33" t="inlineStr">
        <is>
          <t>Tertiary - F - Construction;
Tertiary - K - Financial and insurance activities;
Tertiary - L - Real estate activities</t>
        </is>
      </c>
      <c r="N167" s="33" t="inlineStr"/>
      <c r="O167" s="33" t="inlineStr">
        <is>
          <t>BLEU (Belgium-Luxembourg Economic Union) - Korea, Republic of BIT (1974);
BLEU (Belgium-Luxembourg Economic Union) - Korea, Republic of BIT (2006)</t>
        </is>
      </c>
      <c r="P167" s="33" t="inlineStr"/>
      <c r="Q167" s="33" t="inlineStr">
        <is>
          <t>Veeder, V. V. - President (replaced); Brower, C. N. - Claimant; Stern, B. - Respondent; Binnie, I. - President</t>
        </is>
      </c>
      <c r="R167" s="33" t="inlineStr">
        <is>
          <t>ICSID annulment proceedings</t>
        </is>
      </c>
      <c r="S167" s="33" t="inlineStr">
        <is>
          <t>Pending ICSID annulment proceedings</t>
        </is>
      </c>
      <c r="T167" s="33" t="inlineStr">
        <is>
          <t>Inglés</t>
        </is>
      </c>
      <c r="U167" s="33" t="inlineStr">
        <is>
          <t>http://www.italaw.com/cases/2022</t>
        </is>
      </c>
      <c r="V167" s="33" t="inlineStr">
        <is>
          <t>Sí</t>
        </is>
      </c>
    </row>
    <row r="168">
      <c r="A168" s="32" t="n">
        <v>167</v>
      </c>
      <c r="B168" s="32" t="inlineStr">
        <is>
          <t>Mercer v. Canada</t>
        </is>
      </c>
      <c r="C168" s="32" t="inlineStr">
        <is>
          <t>Mercer International, Inc. v. Canada (ICSID Case No. ARB(AF)/12/3)</t>
        </is>
      </c>
      <c r="D168" s="32" t="inlineStr">
        <is>
          <t>Canada</t>
        </is>
      </c>
      <c r="E168" s="32" t="inlineStr">
        <is>
          <t>América del Norte</t>
        </is>
      </c>
      <c r="F168" s="32" t="inlineStr">
        <is>
          <t>United States of America</t>
        </is>
      </c>
      <c r="G168" s="32" t="n">
        <v>2012</v>
      </c>
      <c r="H168" s="32" t="inlineStr">
        <is>
          <t>No - ganó el Estado</t>
        </is>
      </c>
      <c r="I168" s="32" t="inlineStr">
        <is>
          <t>No</t>
        </is>
      </c>
      <c r="J168" s="32" t="inlineStr"/>
      <c r="K168" s="32" t="inlineStr">
        <is>
          <t>243.00 CAD (231.60 USD)</t>
        </is>
      </c>
      <c r="L168" s="32" t="inlineStr"/>
      <c r="M168" s="32" t="inlineStr">
        <is>
          <t>Tertiary - D - Electricity, gas, steam and air conditioning supply</t>
        </is>
      </c>
      <c r="N168" s="32" t="inlineStr"/>
      <c r="O168" s="32" t="inlineStr">
        <is>
          <t>NAFTA (1992)</t>
        </is>
      </c>
      <c r="P168" s="32" t="inlineStr">
        <is>
          <t>100% (wholly owned)</t>
        </is>
      </c>
      <c r="Q168" s="32" t="inlineStr">
        <is>
          <t>Veeder, V. V. - President; Orrego Vicuña, F. - Claimant; Douglas, Z. - Respondent</t>
        </is>
      </c>
      <c r="R168" s="32" t="inlineStr"/>
      <c r="S168" s="32" t="inlineStr"/>
      <c r="T168" s="32" t="inlineStr">
        <is>
          <t>Inglés</t>
        </is>
      </c>
      <c r="U168" s="32" t="inlineStr">
        <is>
          <t>http://www.italaw.com/cases/1217</t>
        </is>
      </c>
      <c r="V168" s="32" t="inlineStr">
        <is>
          <t>Sí</t>
        </is>
      </c>
    </row>
    <row r="169">
      <c r="A169" s="34" t="n">
        <v>168</v>
      </c>
      <c r="B169" s="34" t="inlineStr">
        <is>
          <t>MNSS and RCA v. Montenegro</t>
        </is>
      </c>
      <c r="C169" s="34" t="inlineStr">
        <is>
          <t>MNSS B.V. and Recupero Credito Acciaio N.V v. Montenegro (ICSID Case No. ARB(AF)/12/8)</t>
        </is>
      </c>
      <c r="D169" s="34" t="inlineStr">
        <is>
          <t>Montenegro</t>
        </is>
      </c>
      <c r="E169" s="34" t="inlineStr">
        <is>
          <t>Europa Occidental</t>
        </is>
      </c>
      <c r="F169" s="34" t="inlineStr">
        <is>
          <t>Netherlands</t>
        </is>
      </c>
      <c r="G169" s="34" t="n">
        <v>2012</v>
      </c>
      <c r="H169" s="34" t="inlineStr">
        <is>
          <t>Sí sin daños</t>
        </is>
      </c>
      <c r="I169" s="34" t="inlineStr">
        <is>
          <t>Sí</t>
        </is>
      </c>
      <c r="J169" s="34" t="inlineStr">
        <is>
          <t>TJE - Trato Justo y Equitativo | Expropiación | Libre Transferencia | NMF - Nación Más Favorecida</t>
        </is>
      </c>
      <c r="K169" s="34" t="inlineStr">
        <is>
          <t>100.00 EUR (114.50 USD)</t>
        </is>
      </c>
      <c r="L169" s="34" t="inlineStr">
        <is>
          <t>0.00 USD</t>
        </is>
      </c>
      <c r="M169" s="34" t="inlineStr">
        <is>
          <t>Secondary - C - Manufacturing</t>
        </is>
      </c>
      <c r="N169" s="34" t="inlineStr"/>
      <c r="O169" s="34" t="inlineStr">
        <is>
          <t>Macedonia, The former Yugoslav Republic of - Netherlands BIT (1998)</t>
        </is>
      </c>
      <c r="P169" s="34" t="inlineStr"/>
      <c r="Q169" s="34" t="inlineStr">
        <is>
          <t>Rigo Sureda, A. - President; Gaillard, E. - Claimant; Stern, B. - Respondent; Schreuer, C. H. - Respondent (replaced)</t>
        </is>
      </c>
      <c r="R169" s="34" t="inlineStr"/>
      <c r="S169" s="34" t="inlineStr"/>
      <c r="T169" s="34" t="inlineStr">
        <is>
          <t>Inglés</t>
        </is>
      </c>
      <c r="U169" s="34" t="inlineStr">
        <is>
          <t>http://www.italaw.com/cases/2028</t>
        </is>
      </c>
      <c r="V169" s="34" t="inlineStr">
        <is>
          <t>Sí</t>
        </is>
      </c>
    </row>
    <row r="170">
      <c r="A170" s="32" t="n">
        <v>169</v>
      </c>
      <c r="B170" s="32" t="inlineStr">
        <is>
          <t>Orascom v. Algeria</t>
        </is>
      </c>
      <c r="C170" s="32" t="inlineStr">
        <is>
          <t>Orascom TMT Investments S.à r.l. v. People's Democratic Republic of Algeria (ICSID Case No. ARB/12/35)</t>
        </is>
      </c>
      <c r="D170" s="32" t="inlineStr">
        <is>
          <t>Algeria</t>
        </is>
      </c>
      <c r="E170" s="32" t="inlineStr">
        <is>
          <t>Medio Oriente/Norte África</t>
        </is>
      </c>
      <c r="F170" s="32" t="inlineStr">
        <is>
          <t>Luxembourg</t>
        </is>
      </c>
      <c r="G170" s="32" t="n">
        <v>2012</v>
      </c>
      <c r="H170" s="32" t="inlineStr">
        <is>
          <t>No - ganó el Estado</t>
        </is>
      </c>
      <c r="I170" s="32" t="inlineStr">
        <is>
          <t>No</t>
        </is>
      </c>
      <c r="J170" s="32" t="inlineStr">
        <is>
          <t>Expropiación | Cláusula Paraguas</t>
        </is>
      </c>
      <c r="K170" s="32" t="inlineStr">
        <is>
          <t>4000.00 USD</t>
        </is>
      </c>
      <c r="L170" s="32" t="inlineStr"/>
      <c r="M170" s="32" t="inlineStr">
        <is>
          <t>Tertiary - J - Information and communication</t>
        </is>
      </c>
      <c r="N170" s="32" t="inlineStr"/>
      <c r="O170" s="32" t="inlineStr">
        <is>
          <t>Algeria - BLEU (Belgium-Luxembourg Economic Union) BIT (1991)</t>
        </is>
      </c>
      <c r="P170" s="32" t="inlineStr"/>
      <c r="Q170" s="32" t="inlineStr">
        <is>
          <t>Kaufmann-Kohler, G. - President; van den Berg, A. J. - Claimant; Stern, B. - Respondent</t>
        </is>
      </c>
      <c r="R170" s="32" t="inlineStr">
        <is>
          <t>ICSID annulment proceedings</t>
        </is>
      </c>
      <c r="S170" s="32" t="inlineStr">
        <is>
          <t>Award/decision upheld ICSID annulment proceedings</t>
        </is>
      </c>
      <c r="T170" s="32" t="inlineStr">
        <is>
          <t>Inglés</t>
        </is>
      </c>
      <c r="U170" s="32" t="inlineStr">
        <is>
          <t>http://www.italaw.com/cases/2040</t>
        </is>
      </c>
      <c r="V170" s="32" t="inlineStr">
        <is>
          <t>Sí</t>
        </is>
      </c>
    </row>
    <row r="171">
      <c r="A171" s="32" t="n">
        <v>170</v>
      </c>
      <c r="B171" s="32" t="inlineStr">
        <is>
          <t>Ping An v. Belgium</t>
        </is>
      </c>
      <c r="C171" s="32" t="inlineStr">
        <is>
          <t>Ping An Life Insurance Company of China, Limited and Ping An Insurance (Group) Company of China, Limited v. Kingdom of Belgium (ICSID Case No. ARB/12/29)</t>
        </is>
      </c>
      <c r="D171" s="32" t="inlineStr">
        <is>
          <t>Belgium</t>
        </is>
      </c>
      <c r="E171" s="32" t="inlineStr">
        <is>
          <t>Europa Occidental</t>
        </is>
      </c>
      <c r="F171" s="32" t="inlineStr">
        <is>
          <t>China</t>
        </is>
      </c>
      <c r="G171" s="32" t="n">
        <v>2012</v>
      </c>
      <c r="H171" s="32" t="inlineStr">
        <is>
          <t>No - ganó el Estado</t>
        </is>
      </c>
      <c r="I171" s="32" t="inlineStr">
        <is>
          <t>No</t>
        </is>
      </c>
      <c r="J171" s="32" t="inlineStr">
        <is>
          <t>TJE - Trato Justo y Equitativo | Expropiación | NMF - Nación Más Favorecida</t>
        </is>
      </c>
      <c r="K171" s="32" t="inlineStr">
        <is>
          <t>871.00 EUR (960.60 USD)</t>
        </is>
      </c>
      <c r="L171" s="32" t="inlineStr"/>
      <c r="M171" s="32" t="inlineStr">
        <is>
          <t>Tertiary - K - Financial and insurance activities</t>
        </is>
      </c>
      <c r="N171" s="32" t="inlineStr">
        <is>
          <t>Nacionalización</t>
        </is>
      </c>
      <c r="O171" s="32" t="inlineStr">
        <is>
          <t>BLEU (Belgium-Luxembourg Economic Union) - China BIT (1984);
BLEU (Belgium-Luxembourg Economic Union) - China BIT (2005)</t>
        </is>
      </c>
      <c r="P171" s="32" t="inlineStr"/>
      <c r="Q171" s="32" t="inlineStr">
        <is>
          <t>Collins, L. - President; Williams, D. A. R. - Claimant; Sands, P. - Respondent</t>
        </is>
      </c>
      <c r="R171" s="32" t="inlineStr"/>
      <c r="S171" s="32" t="inlineStr"/>
      <c r="T171" s="32" t="inlineStr">
        <is>
          <t>Indeterminado</t>
        </is>
      </c>
      <c r="U171" s="32" t="inlineStr">
        <is>
          <t>http://www.italaw.com/cases/3088</t>
        </is>
      </c>
      <c r="V171" s="32" t="inlineStr">
        <is>
          <t>Sí</t>
        </is>
      </c>
    </row>
    <row r="172">
      <c r="A172" s="33" t="n">
        <v>171</v>
      </c>
      <c r="B172" s="33" t="inlineStr">
        <is>
          <t>Rusoro Mining v. Venezuela</t>
        </is>
      </c>
      <c r="C172" s="33" t="inlineStr">
        <is>
          <t>Rusoro Mining Ltd. v. Bolivarian Republic of Venezuela (ICSID Case No. ARB(AF)/12/5)</t>
        </is>
      </c>
      <c r="D172" s="33" t="inlineStr">
        <is>
          <t>Venezuela, Bolivarian Republic of</t>
        </is>
      </c>
      <c r="E172" s="33" t="inlineStr">
        <is>
          <t>América del Sur</t>
        </is>
      </c>
      <c r="F172" s="33" t="inlineStr">
        <is>
          <t>Canada</t>
        </is>
      </c>
      <c r="G172" s="33" t="n">
        <v>2012</v>
      </c>
      <c r="H172" s="33" t="inlineStr">
        <is>
          <t>Sí con daños</t>
        </is>
      </c>
      <c r="I172" s="33" t="inlineStr">
        <is>
          <t>Sí</t>
        </is>
      </c>
      <c r="J172" s="33" t="inlineStr">
        <is>
          <t>TJE - Trato Justo y Equitativo | Expropiación | Protección y Seguridad Plenas | Libre Transferencia</t>
        </is>
      </c>
      <c r="K172" s="33" t="inlineStr">
        <is>
          <t>2318.90 USD</t>
        </is>
      </c>
      <c r="L172" s="33" t="inlineStr">
        <is>
          <t>967.80 USD</t>
        </is>
      </c>
      <c r="M172" s="33" t="inlineStr">
        <is>
          <t>Primary - B - Mining and quarrying</t>
        </is>
      </c>
      <c r="N172" s="33" t="inlineStr">
        <is>
          <t>Nacionalización</t>
        </is>
      </c>
      <c r="O172" s="33" t="inlineStr">
        <is>
          <t>Canada - Venezuela, Bolivarian Republic of BIT (1996)</t>
        </is>
      </c>
      <c r="P172" s="33" t="inlineStr"/>
      <c r="Q172" s="33" t="inlineStr">
        <is>
          <t>Fernández-Armesto, J. - President; Orrego Vicuña, F. - Claimant; Simma, B. - Respondent</t>
        </is>
      </c>
      <c r="R172" s="33" t="inlineStr">
        <is>
          <t>Judicial review by national courts</t>
        </is>
      </c>
      <c r="S172" s="33" t="inlineStr">
        <is>
          <t>Award/decision upheld Judicial review by national courts</t>
        </is>
      </c>
      <c r="T172" s="33" t="inlineStr">
        <is>
          <t>Inglés</t>
        </is>
      </c>
      <c r="U172" s="33" t="inlineStr">
        <is>
          <t>http://www.italaw.com/cases/2048</t>
        </is>
      </c>
      <c r="V172" s="33" t="inlineStr">
        <is>
          <t>Sí</t>
        </is>
      </c>
    </row>
    <row r="173">
      <c r="A173" s="33" t="n">
        <v>172</v>
      </c>
      <c r="B173" s="33" t="inlineStr">
        <is>
          <t>Saint-Gobain v. Venezuela</t>
        </is>
      </c>
      <c r="C173" s="33" t="inlineStr">
        <is>
          <t>Saint-Gobain Performance Plastics Europe v. Bolivarian Republic of Venezuela (ICSID Case No. ARB/12/13)</t>
        </is>
      </c>
      <c r="D173" s="33" t="inlineStr">
        <is>
          <t>Venezuela, Bolivarian Republic of</t>
        </is>
      </c>
      <c r="E173" s="33" t="inlineStr">
        <is>
          <t>América del Sur</t>
        </is>
      </c>
      <c r="F173" s="33" t="inlineStr">
        <is>
          <t>France</t>
        </is>
      </c>
      <c r="G173" s="33" t="n">
        <v>2012</v>
      </c>
      <c r="H173" s="33" t="inlineStr">
        <is>
          <t>Sí con daños</t>
        </is>
      </c>
      <c r="I173" s="33" t="inlineStr">
        <is>
          <t>Sí</t>
        </is>
      </c>
      <c r="J173" s="33" t="inlineStr">
        <is>
          <t>Expropiación</t>
        </is>
      </c>
      <c r="K173" s="33" t="inlineStr">
        <is>
          <t>115.10 USD</t>
        </is>
      </c>
      <c r="L173" s="33" t="inlineStr">
        <is>
          <t>29.60 USD</t>
        </is>
      </c>
      <c r="M173" s="33" t="inlineStr">
        <is>
          <t>Secondary - C - Manufacturing</t>
        </is>
      </c>
      <c r="N173" s="33" t="inlineStr"/>
      <c r="O173" s="33" t="inlineStr">
        <is>
          <t>France - Venezuela, Bolivarian Republic of BIT (2001)</t>
        </is>
      </c>
      <c r="P173" s="33" t="inlineStr"/>
      <c r="Q173" s="33" t="inlineStr">
        <is>
          <t>Sachs, K. - President; Brower, C. N. - Claimant; Bottini, G. - Respondent</t>
        </is>
      </c>
      <c r="R173" s="33" t="inlineStr">
        <is>
          <t>ICSID annulment proceedings</t>
        </is>
      </c>
      <c r="S173" s="33" t="inlineStr">
        <is>
          <t>Discontinued ICSID annulment proceedings</t>
        </is>
      </c>
      <c r="T173" s="33" t="inlineStr">
        <is>
          <t>Inglés</t>
        </is>
      </c>
      <c r="U173" s="33" t="inlineStr">
        <is>
          <t>http://www.italaw.com/cases/1784</t>
        </is>
      </c>
      <c r="V173" s="33" t="inlineStr">
        <is>
          <t>Sí</t>
        </is>
      </c>
    </row>
    <row r="174">
      <c r="A174" s="32" t="n">
        <v>173</v>
      </c>
      <c r="B174" s="32" t="inlineStr">
        <is>
          <t>Supervision v. Costa Rica</t>
        </is>
      </c>
      <c r="C174" s="32" t="inlineStr">
        <is>
          <t>Supervision y Control S.A. v. Republic of Costa Rica (ICSID Case No. ARB/12/4)</t>
        </is>
      </c>
      <c r="D174" s="32" t="inlineStr">
        <is>
          <t>Costa Rica</t>
        </is>
      </c>
      <c r="E174" s="32" t="inlineStr">
        <is>
          <t>América Central/Caribe</t>
        </is>
      </c>
      <c r="F174" s="32" t="inlineStr">
        <is>
          <t>Spain</t>
        </is>
      </c>
      <c r="G174" s="32" t="n">
        <v>2012</v>
      </c>
      <c r="H174" s="32" t="inlineStr">
        <is>
          <t>No - ganó el Estado</t>
        </is>
      </c>
      <c r="I174" s="32" t="inlineStr">
        <is>
          <t>No</t>
        </is>
      </c>
      <c r="J174" s="32" t="inlineStr">
        <is>
          <t>TJE - Trato Justo y Equitativo | Expropiación | Protección y Seguridad Plenas | NMF - Nación Más Favorecida</t>
        </is>
      </c>
      <c r="K174" s="32" t="inlineStr">
        <is>
          <t>297.90 EUR (317.50 USD)</t>
        </is>
      </c>
      <c r="L174" s="32" t="inlineStr"/>
      <c r="M174" s="32" t="inlineStr">
        <is>
          <t>Tertiary - M - Professional, scientific and technical activities</t>
        </is>
      </c>
      <c r="N174" s="32" t="inlineStr"/>
      <c r="O174" s="32" t="inlineStr">
        <is>
          <t>Costa Rica - Spain BIT (1997)</t>
        </is>
      </c>
      <c r="P174" s="32" t="inlineStr"/>
      <c r="Q174" s="32" t="inlineStr">
        <is>
          <t>von Wobeser, C. - President; Klock, J. P. - Claimant; Silva Romero, E. - Respondent</t>
        </is>
      </c>
      <c r="R174" s="32" t="inlineStr"/>
      <c r="S174" s="32" t="inlineStr"/>
      <c r="T174" s="32" t="inlineStr">
        <is>
          <t>Inglés</t>
        </is>
      </c>
      <c r="U174" s="32" t="inlineStr">
        <is>
          <t>http://www.italaw.com/cases/2052</t>
        </is>
      </c>
      <c r="V174" s="32" t="inlineStr">
        <is>
          <t>Sí</t>
        </is>
      </c>
    </row>
    <row r="175">
      <c r="A175" s="33" t="n">
        <v>174</v>
      </c>
      <c r="B175" s="33" t="inlineStr">
        <is>
          <t>Tenaris and Talta v. Venezuela (II)</t>
        </is>
      </c>
      <c r="C175" s="33" t="inlineStr">
        <is>
          <t>Tenaris S.A. and Talta - Trading e Marketing Sociedade Unipessoal Lda. v. Bolivarian Republic of Venezuela (II) (ICSID Case No. ARB/12/23)</t>
        </is>
      </c>
      <c r="D175" s="33" t="inlineStr">
        <is>
          <t>Venezuela, Bolivarian Republic of</t>
        </is>
      </c>
      <c r="E175" s="33" t="inlineStr">
        <is>
          <t>América del Sur</t>
        </is>
      </c>
      <c r="F175" s="33" t="inlineStr">
        <is>
          <t>Luxembourg;
Portugal</t>
        </is>
      </c>
      <c r="G175" s="33" t="n">
        <v>2012</v>
      </c>
      <c r="H175" s="33" t="inlineStr">
        <is>
          <t>Sí con daños</t>
        </is>
      </c>
      <c r="I175" s="33" t="inlineStr">
        <is>
          <t>Sí</t>
        </is>
      </c>
      <c r="J175" s="33" t="inlineStr">
        <is>
          <t>TJE - Trato Justo y Equitativo | Expropiación</t>
        </is>
      </c>
      <c r="K175" s="33" t="inlineStr">
        <is>
          <t>243.70 USD</t>
        </is>
      </c>
      <c r="L175" s="33" t="inlineStr">
        <is>
          <t>137.00 USD</t>
        </is>
      </c>
      <c r="M175" s="33" t="inlineStr">
        <is>
          <t>Secondary - C - Manufacturing</t>
        </is>
      </c>
      <c r="N175" s="33" t="inlineStr">
        <is>
          <t>Medida fiscal/impositiva | Nacionalización</t>
        </is>
      </c>
      <c r="O175" s="33" t="inlineStr">
        <is>
          <t>Portugal - Venezuela, Bolivarian Republic of BIT (1994);
BLEU (Belgium-Luxembourg Economic Union) - Venezuela, Bolivarian Republic of BIT (1998)</t>
        </is>
      </c>
      <c r="P175" s="33" t="inlineStr"/>
      <c r="Q175" s="33" t="inlineStr">
        <is>
          <t>Fernández-Armesto, J. - President; Gómez-Pinzón, E. - Claimant; Stern, B. - Respondent</t>
        </is>
      </c>
      <c r="R175" s="33" t="inlineStr">
        <is>
          <t>ICSID annulment proceedings</t>
        </is>
      </c>
      <c r="S175" s="33" t="inlineStr">
        <is>
          <t>Award/decision upheld ICSID annulment proceedings</t>
        </is>
      </c>
      <c r="T175" s="33" t="inlineStr">
        <is>
          <t>Indeterminado</t>
        </is>
      </c>
      <c r="U175" s="33" t="inlineStr">
        <is>
          <t>http://www.italaw.com/cases/4800</t>
        </is>
      </c>
      <c r="V175" s="33" t="inlineStr">
        <is>
          <t>Sí</t>
        </is>
      </c>
    </row>
    <row r="176">
      <c r="A176" s="33" t="n">
        <v>175</v>
      </c>
      <c r="B176" s="33" t="inlineStr">
        <is>
          <t>Tethyan Copper v. Pakistan</t>
        </is>
      </c>
      <c r="C176" s="33" t="inlineStr">
        <is>
          <t>Tethyan Copper Company Pty Limited v. Islamic Republic of Pakistan (ICSID Case No. ARB/12/1)</t>
        </is>
      </c>
      <c r="D176" s="33" t="inlineStr">
        <is>
          <t>Pakistan</t>
        </is>
      </c>
      <c r="E176" s="33" t="inlineStr">
        <is>
          <t>Asia Sur-Este/Pacífico</t>
        </is>
      </c>
      <c r="F176" s="33" t="inlineStr">
        <is>
          <t>Australia</t>
        </is>
      </c>
      <c r="G176" s="33" t="n">
        <v>2012</v>
      </c>
      <c r="H176" s="33" t="inlineStr">
        <is>
          <t>Sí con daños</t>
        </is>
      </c>
      <c r="I176" s="33" t="inlineStr">
        <is>
          <t>Sí</t>
        </is>
      </c>
      <c r="J176" s="33" t="inlineStr">
        <is>
          <t>TJE - Trato Justo y Equitativo | Expropiación</t>
        </is>
      </c>
      <c r="K176" s="33" t="inlineStr">
        <is>
          <t>8500.00 USD</t>
        </is>
      </c>
      <c r="L176" s="33" t="inlineStr">
        <is>
          <t>4087.00 USD</t>
        </is>
      </c>
      <c r="M176" s="33" t="inlineStr">
        <is>
          <t>Primary - B - Mining and quarrying</t>
        </is>
      </c>
      <c r="N176" s="33" t="inlineStr"/>
      <c r="O176" s="33" t="inlineStr">
        <is>
          <t>Australia - Pakistan BIT (1998)</t>
        </is>
      </c>
      <c r="P176" s="33" t="inlineStr"/>
      <c r="Q176" s="33" t="inlineStr">
        <is>
          <t>Sachs, K. - President; Alexandrov, S. A. - Claimant; Beechey, J. - Claimant (replaced); Hoffmann, L. - Respondent</t>
        </is>
      </c>
      <c r="R176" s="33" t="inlineStr">
        <is>
          <t>ICSID annulment proceedings</t>
        </is>
      </c>
      <c r="S176" s="33" t="inlineStr">
        <is>
          <t>Discontinued ICSID annulment proceedings</t>
        </is>
      </c>
      <c r="T176" s="33" t="inlineStr">
        <is>
          <t>Inglés</t>
        </is>
      </c>
      <c r="U176" s="33" t="inlineStr">
        <is>
          <t>http://www.italaw.com/cases/1631</t>
        </is>
      </c>
      <c r="V176" s="33" t="inlineStr">
        <is>
          <t>Sí</t>
        </is>
      </c>
    </row>
    <row r="177">
      <c r="A177" s="32" t="n">
        <v>176</v>
      </c>
      <c r="B177" s="32" t="inlineStr">
        <is>
          <t>Transban v. Venezuela</t>
        </is>
      </c>
      <c r="C177" s="32" t="inlineStr">
        <is>
          <t>Transban Investments Corp. v. Bolivarian Republic of Venezuela (ICSID Case No. ARB/12/24)</t>
        </is>
      </c>
      <c r="D177" s="32" t="inlineStr">
        <is>
          <t>Venezuela, Bolivarian Republic of</t>
        </is>
      </c>
      <c r="E177" s="32" t="inlineStr">
        <is>
          <t>América del Sur</t>
        </is>
      </c>
      <c r="F177" s="32" t="inlineStr">
        <is>
          <t>Barbados</t>
        </is>
      </c>
      <c r="G177" s="32" t="n">
        <v>2012</v>
      </c>
      <c r="H177" s="32" t="inlineStr">
        <is>
          <t>No - ganó el Estado</t>
        </is>
      </c>
      <c r="I177" s="32" t="inlineStr">
        <is>
          <t>No</t>
        </is>
      </c>
      <c r="J177" s="32" t="inlineStr">
        <is>
          <t>TJE - Trato Justo y Equitativo</t>
        </is>
      </c>
      <c r="K177" s="32" t="inlineStr">
        <is>
          <t>100.00 USD</t>
        </is>
      </c>
      <c r="L177" s="32" t="inlineStr"/>
      <c r="M177" s="32" t="inlineStr">
        <is>
          <t>Tertiary - G - Wholesale and retail trade; repair of motor vehicles and motorcycles</t>
        </is>
      </c>
      <c r="N177" s="32" t="inlineStr"/>
      <c r="O177" s="32" t="inlineStr">
        <is>
          <t>Barbados - Venezuela, Bolivarian Republic of BIT (1994)</t>
        </is>
      </c>
      <c r="P177" s="32" t="inlineStr"/>
      <c r="Q177" s="32" t="inlineStr">
        <is>
          <t>Tomka, P. - President; Caron, D. D. - Claimant; Torres Bernárdez, S. - Respondent</t>
        </is>
      </c>
      <c r="R177" s="32" t="inlineStr"/>
      <c r="S177" s="32" t="inlineStr"/>
      <c r="T177" s="32" t="inlineStr">
        <is>
          <t>Inglés</t>
        </is>
      </c>
      <c r="U177" s="32" t="inlineStr">
        <is>
          <t>http://www.italaw.com/cases/2091</t>
        </is>
      </c>
      <c r="V177" s="32" t="inlineStr">
        <is>
          <t>Sí</t>
        </is>
      </c>
    </row>
    <row r="178">
      <c r="A178" s="32" t="n">
        <v>177</v>
      </c>
      <c r="B178" s="32" t="inlineStr">
        <is>
          <t>Veolia v. Egypt</t>
        </is>
      </c>
      <c r="C178" s="32" t="inlineStr">
        <is>
          <t>Veolia Propreté v. Arab Republic of Egypt (ICSID Case No. ARB/12/15)</t>
        </is>
      </c>
      <c r="D178" s="32" t="inlineStr">
        <is>
          <t>Egypt</t>
        </is>
      </c>
      <c r="E178" s="32" t="inlineStr">
        <is>
          <t>Medio Oriente/Norte África</t>
        </is>
      </c>
      <c r="F178" s="32" t="inlineStr">
        <is>
          <t>France</t>
        </is>
      </c>
      <c r="G178" s="32" t="n">
        <v>2012</v>
      </c>
      <c r="H178" s="32" t="inlineStr">
        <is>
          <t>No - ganó el Estado</t>
        </is>
      </c>
      <c r="I178" s="32" t="inlineStr">
        <is>
          <t>No</t>
        </is>
      </c>
      <c r="J178" s="32" t="inlineStr">
        <is>
          <t>TJE - Trato Justo y Equitativo | Expropiación | NMF - Nación Más Favorecida</t>
        </is>
      </c>
      <c r="K178" s="32" t="inlineStr">
        <is>
          <t>175.00 EUR (202.50 USD)</t>
        </is>
      </c>
      <c r="L178" s="32" t="inlineStr"/>
      <c r="M178" s="32" t="inlineStr">
        <is>
          <t>Tertiary - E - Water supply; sewerage, waste management and remediation activities</t>
        </is>
      </c>
      <c r="N178" s="32" t="inlineStr"/>
      <c r="O178" s="32" t="inlineStr">
        <is>
          <t>Egypt - France BIT (1974)</t>
        </is>
      </c>
      <c r="P178" s="32" t="inlineStr"/>
      <c r="Q178" s="32" t="inlineStr">
        <is>
          <t>Yusuf, A. A. - President; Sachs, K. - Claimant; Douglas, Z. - Respondent</t>
        </is>
      </c>
      <c r="R178" s="32" t="inlineStr"/>
      <c r="S178" s="32" t="inlineStr"/>
      <c r="T178" s="32" t="inlineStr">
        <is>
          <t>Inglés</t>
        </is>
      </c>
      <c r="U178" s="32" t="inlineStr">
        <is>
          <t>http://www.italaw.com/cases/2101</t>
        </is>
      </c>
      <c r="V178" s="32" t="inlineStr">
        <is>
          <t>Sí</t>
        </is>
      </c>
    </row>
    <row r="179">
      <c r="A179" s="31" t="n">
        <v>178</v>
      </c>
      <c r="B179" s="31" t="inlineStr">
        <is>
          <t>Agility v. Pakistan</t>
        </is>
      </c>
      <c r="C179" s="31" t="inlineStr">
        <is>
          <t>Agility for Public Warehousing Company K.S.C. v. Islamic Republic of Pakistan (ICSID Case No. ARB/11/8)</t>
        </is>
      </c>
      <c r="D179" s="31" t="inlineStr">
        <is>
          <t>Pakistan</t>
        </is>
      </c>
      <c r="E179" s="31" t="inlineStr">
        <is>
          <t>Asia Sur-Este/Pacífico</t>
        </is>
      </c>
      <c r="F179" s="31" t="inlineStr">
        <is>
          <t>Kuwait</t>
        </is>
      </c>
      <c r="G179" s="31" t="n">
        <v>2011</v>
      </c>
      <c r="H179" s="31" t="inlineStr">
        <is>
          <t>Sí sin daños</t>
        </is>
      </c>
      <c r="I179" s="31" t="inlineStr">
        <is>
          <t>Sí</t>
        </is>
      </c>
      <c r="J179" s="31" t="inlineStr"/>
      <c r="K179" s="31" t="inlineStr">
        <is>
          <t>650.00 USD</t>
        </is>
      </c>
      <c r="L179" s="31" t="inlineStr">
        <is>
          <t>0.00 USD</t>
        </is>
      </c>
      <c r="M179" s="31" t="inlineStr">
        <is>
          <t>Tertiary - O - Public administration and defence; compulsory social security</t>
        </is>
      </c>
      <c r="N179" s="31" t="inlineStr"/>
      <c r="O179" s="31" t="inlineStr">
        <is>
          <t>Kuwait - Pakistan BIT (1983)</t>
        </is>
      </c>
      <c r="P179" s="31" t="inlineStr"/>
      <c r="Q179" s="31" t="inlineStr">
        <is>
          <t>Fortier, L. Y. - President; Brower, C. N. - Claimant; Moollan, S. - Respondent</t>
        </is>
      </c>
      <c r="R179" s="31" t="inlineStr"/>
      <c r="S179" s="31" t="inlineStr"/>
      <c r="T179" s="31" t="inlineStr"/>
      <c r="U179" s="31" t="inlineStr">
        <is>
          <t>http://www.italaw.com/cases/1786</t>
        </is>
      </c>
      <c r="V179" s="31" t="inlineStr">
        <is>
          <t>Pendiente</t>
        </is>
      </c>
    </row>
    <row r="180">
      <c r="A180" s="32" t="n">
        <v>179</v>
      </c>
      <c r="B180" s="32" t="inlineStr">
        <is>
          <t>Al Tamimi v. Oman</t>
        </is>
      </c>
      <c r="C180" s="32" t="inlineStr">
        <is>
          <t>Adel A Hamadi Al Tamimi v. Sultanate of Oman (ICSID Case No. ARB/11/33)</t>
        </is>
      </c>
      <c r="D180" s="32" t="inlineStr">
        <is>
          <t>Oman</t>
        </is>
      </c>
      <c r="E180" s="32" t="inlineStr">
        <is>
          <t>Medio Oriente/Norte África</t>
        </is>
      </c>
      <c r="F180" s="32" t="inlineStr">
        <is>
          <t>United States of America</t>
        </is>
      </c>
      <c r="G180" s="32" t="n">
        <v>2011</v>
      </c>
      <c r="H180" s="32" t="inlineStr">
        <is>
          <t>No - ganó el Estado</t>
        </is>
      </c>
      <c r="I180" s="32" t="inlineStr">
        <is>
          <t>No</t>
        </is>
      </c>
      <c r="J180" s="32" t="inlineStr">
        <is>
          <t>TJE - Trato Justo y Equitativo | Expropiación | Protección y Seguridad Plenas | Trato Nacional</t>
        </is>
      </c>
      <c r="K180" s="32" t="inlineStr">
        <is>
          <t>560.00 USD</t>
        </is>
      </c>
      <c r="L180" s="32" t="inlineStr"/>
      <c r="M180" s="32" t="inlineStr">
        <is>
          <t>Primary - B - Mining and quarrying</t>
        </is>
      </c>
      <c r="N180" s="32" t="inlineStr"/>
      <c r="O180" s="32" t="inlineStr">
        <is>
          <t>Oman - US FTA (2006)</t>
        </is>
      </c>
      <c r="P180" s="32" t="inlineStr">
        <is>
          <t>49% of the 
shares</t>
        </is>
      </c>
      <c r="Q180" s="32" t="inlineStr">
        <is>
          <t>Williams, D. A. R. - President; Brower, C. N. - Claimant; Thomas, J. C. - Respondent</t>
        </is>
      </c>
      <c r="R180" s="32" t="inlineStr"/>
      <c r="S180" s="32" t="inlineStr"/>
      <c r="T180" s="32" t="inlineStr">
        <is>
          <t>Inglés</t>
        </is>
      </c>
      <c r="U180" s="32" t="inlineStr">
        <is>
          <t>http://www.italaw.com/cases/1070</t>
        </is>
      </c>
      <c r="V180" s="32" t="inlineStr">
        <is>
          <t>Sí</t>
        </is>
      </c>
    </row>
    <row r="181">
      <c r="A181" s="33" t="n">
        <v>180</v>
      </c>
      <c r="B181" s="33" t="inlineStr">
        <is>
          <t>Arif v. Moldova</t>
        </is>
      </c>
      <c r="C181" s="33" t="inlineStr">
        <is>
          <t>Franck Charles Arif v. Republic of Moldova (ICSID Case No. ARB/11/23)</t>
        </is>
      </c>
      <c r="D181" s="33" t="inlineStr">
        <is>
          <t>Moldova, Republic of</t>
        </is>
      </c>
      <c r="E181" s="33" t="inlineStr">
        <is>
          <t>Sin clasificar</t>
        </is>
      </c>
      <c r="F181" s="33" t="inlineStr">
        <is>
          <t>France</t>
        </is>
      </c>
      <c r="G181" s="33" t="n">
        <v>2011</v>
      </c>
      <c r="H181" s="33" t="inlineStr">
        <is>
          <t>Sí con daños</t>
        </is>
      </c>
      <c r="I181" s="33" t="inlineStr">
        <is>
          <t>Sí</t>
        </is>
      </c>
      <c r="J181" s="33" t="inlineStr">
        <is>
          <t>TJE - Trato Justo y Equitativo | Expropiación | Protección y Seguridad Plenas</t>
        </is>
      </c>
      <c r="K181" s="33" t="inlineStr">
        <is>
          <t>27.90 EUR (36.30 USD)</t>
        </is>
      </c>
      <c r="L181" s="33" t="inlineStr">
        <is>
          <t>35.10 MDL (2.70 USD); Non-pecuniary relief</t>
        </is>
      </c>
      <c r="M181" s="33" t="inlineStr">
        <is>
          <t>Tertiary - G - Wholesale and retail trade; repair of motor vehicles and motorcycles</t>
        </is>
      </c>
      <c r="N181" s="33" t="inlineStr"/>
      <c r="O181" s="33" t="inlineStr">
        <is>
          <t>France - Moldova, Republic of BIT (1997)</t>
        </is>
      </c>
      <c r="P181" s="33" t="inlineStr"/>
      <c r="Q181" s="33" t="inlineStr">
        <is>
          <t>Cremades, B. M. - President; Hanotiau, B. - Claimant; Knieper, R. - Respondent</t>
        </is>
      </c>
      <c r="R181" s="33" t="inlineStr"/>
      <c r="S181" s="33" t="inlineStr"/>
      <c r="T181" s="33" t="inlineStr">
        <is>
          <t>Inglés</t>
        </is>
      </c>
      <c r="U181" s="33" t="inlineStr">
        <is>
          <t>http://www.italaw.com/cases/1846</t>
        </is>
      </c>
      <c r="V181" s="33" t="inlineStr">
        <is>
          <t>Sí</t>
        </is>
      </c>
    </row>
    <row r="182">
      <c r="A182" s="33" t="n">
        <v>181</v>
      </c>
      <c r="B182" s="33" t="inlineStr">
        <is>
          <t>Baggerwerken v. Philippines</t>
        </is>
      </c>
      <c r="C182" s="33" t="inlineStr">
        <is>
          <t>Baggerwerken Decloedt En Zoon NV v. Republic of the Philippines (ICSID Case No. ARB/11/27)</t>
        </is>
      </c>
      <c r="D182" s="33" t="inlineStr">
        <is>
          <t>Philippines</t>
        </is>
      </c>
      <c r="E182" s="33" t="inlineStr">
        <is>
          <t>Asia Sur-Este/Pacífico</t>
        </is>
      </c>
      <c r="F182" s="33" t="inlineStr">
        <is>
          <t>Belgium</t>
        </is>
      </c>
      <c r="G182" s="33" t="n">
        <v>2011</v>
      </c>
      <c r="H182" s="33" t="inlineStr">
        <is>
          <t>Sí con daños</t>
        </is>
      </c>
      <c r="I182" s="33" t="inlineStr">
        <is>
          <t>Sí</t>
        </is>
      </c>
      <c r="J182" s="33" t="inlineStr">
        <is>
          <t>Expropiación | NMF - Nación Más Favorecida</t>
        </is>
      </c>
      <c r="K182" s="33" t="inlineStr">
        <is>
          <t>65.00 EUR (91.00 USD)</t>
        </is>
      </c>
      <c r="L182" s="33" t="inlineStr">
        <is>
          <t>16.00 USD</t>
        </is>
      </c>
      <c r="M182" s="33" t="inlineStr">
        <is>
          <t>Tertiary - E - Water supply; sewerage, waste management and remediation activities;
Tertiary - E - Water supply; sewerage, waste management and remediation activities</t>
        </is>
      </c>
      <c r="N182" s="33" t="inlineStr">
        <is>
          <t>Nacionalización</t>
        </is>
      </c>
      <c r="O182" s="33" t="inlineStr">
        <is>
          <t>BLEU (Belgium-Luxembourg Economic Union) - Philippines BIT (1998)</t>
        </is>
      </c>
      <c r="P182" s="33" t="inlineStr"/>
      <c r="Q182" s="33" t="inlineStr">
        <is>
          <t>Tercier, P. - President; Alexandrov, S. A. - Claimant; Thomas, J. C. - Respondent</t>
        </is>
      </c>
      <c r="R182" s="33" t="inlineStr"/>
      <c r="S182" s="33" t="inlineStr"/>
      <c r="T182" s="33" t="inlineStr">
        <is>
          <t>Indeterminado</t>
        </is>
      </c>
      <c r="U182" s="33" t="inlineStr">
        <is>
          <t>https://www.italaw.com/cases/5170</t>
        </is>
      </c>
      <c r="V182" s="33" t="inlineStr">
        <is>
          <t>Sí</t>
        </is>
      </c>
    </row>
    <row r="183">
      <c r="A183" s="32" t="n">
        <v>182</v>
      </c>
      <c r="B183" s="32" t="inlineStr">
        <is>
          <t>Burimi v. Albania</t>
        </is>
      </c>
      <c r="C183" s="32" t="inlineStr">
        <is>
          <t>Burimi SRL and Eagle Games SH.A v. Republic of Albania (ICSID Case No. ARB/11/18)</t>
        </is>
      </c>
      <c r="D183" s="32" t="inlineStr">
        <is>
          <t>Albania</t>
        </is>
      </c>
      <c r="E183" s="32" t="inlineStr">
        <is>
          <t>Europa Occidental</t>
        </is>
      </c>
      <c r="F183" s="32" t="inlineStr">
        <is>
          <t>Italy</t>
        </is>
      </c>
      <c r="G183" s="32" t="n">
        <v>2011</v>
      </c>
      <c r="H183" s="32" t="inlineStr">
        <is>
          <t>No - ganó el Estado</t>
        </is>
      </c>
      <c r="I183" s="32" t="inlineStr">
        <is>
          <t>No</t>
        </is>
      </c>
      <c r="J183" s="32" t="inlineStr">
        <is>
          <t>Expropiación</t>
        </is>
      </c>
      <c r="K183" s="32" t="inlineStr">
        <is>
          <t>1034.70 ALL (9.30 USD)</t>
        </is>
      </c>
      <c r="L183" s="32" t="inlineStr"/>
      <c r="M183" s="32" t="inlineStr">
        <is>
          <t>Tertiary - R - Arts, entertainment and recreation</t>
        </is>
      </c>
      <c r="N183" s="32" t="inlineStr">
        <is>
          <t>Nacionalización</t>
        </is>
      </c>
      <c r="O183" s="32" t="inlineStr">
        <is>
          <t>Albania - Italy BIT (1991)</t>
        </is>
      </c>
      <c r="P183" s="32" t="inlineStr">
        <is>
          <t>50  percent  of  the  shares</t>
        </is>
      </c>
      <c r="Q183" s="32" t="inlineStr">
        <is>
          <t>Price, D. M. - President; Cremades, B. M. - Claimant; Fadlallah, I. - Respondent</t>
        </is>
      </c>
      <c r="R183" s="32" t="inlineStr"/>
      <c r="S183" s="32" t="inlineStr"/>
      <c r="T183" s="32" t="inlineStr">
        <is>
          <t>Inglés</t>
        </is>
      </c>
      <c r="U183" s="32" t="inlineStr">
        <is>
          <t>http://www.italaw.com/cases/2010</t>
        </is>
      </c>
      <c r="V183" s="32" t="inlineStr">
        <is>
          <t>Sí</t>
        </is>
      </c>
    </row>
    <row r="184">
      <c r="A184" s="33" t="n">
        <v>183</v>
      </c>
      <c r="B184" s="33" t="inlineStr">
        <is>
          <t>Crystallex v. Venezuela</t>
        </is>
      </c>
      <c r="C184" s="33" t="inlineStr">
        <is>
          <t>Crystallex International Corporation v. Bolivarian Republic of Venezuela (ICSID Case No. ARB(AF)/11/2)</t>
        </is>
      </c>
      <c r="D184" s="33" t="inlineStr">
        <is>
          <t>Venezuela, Bolivarian Republic of</t>
        </is>
      </c>
      <c r="E184" s="33" t="inlineStr">
        <is>
          <t>América del Sur</t>
        </is>
      </c>
      <c r="F184" s="33" t="inlineStr">
        <is>
          <t>Canada</t>
        </is>
      </c>
      <c r="G184" s="33" t="n">
        <v>2011</v>
      </c>
      <c r="H184" s="33" t="inlineStr">
        <is>
          <t>Sí con daños</t>
        </is>
      </c>
      <c r="I184" s="33" t="inlineStr">
        <is>
          <t>Sí</t>
        </is>
      </c>
      <c r="J184" s="33" t="inlineStr">
        <is>
          <t>TJE - Trato Justo y Equitativo | Expropiación | Protección y Seguridad Plenas</t>
        </is>
      </c>
      <c r="K184" s="33" t="inlineStr">
        <is>
          <t>3160.00 USD</t>
        </is>
      </c>
      <c r="L184" s="33" t="inlineStr">
        <is>
          <t>1202.00 USD</t>
        </is>
      </c>
      <c r="M184" s="33" t="inlineStr">
        <is>
          <t>Primary - B - Mining and quarrying</t>
        </is>
      </c>
      <c r="N184" s="33" t="inlineStr">
        <is>
          <t>Denegación de permiso</t>
        </is>
      </c>
      <c r="O184" s="33" t="inlineStr">
        <is>
          <t>Canada - Venezuela, Bolivarian Republic of BIT (1996)</t>
        </is>
      </c>
      <c r="P184" s="33" t="inlineStr"/>
      <c r="Q184" s="33" t="inlineStr">
        <is>
          <t>Lévy, L. - President; Gotanda, J. Y. - Claimant; Boisson de Chazournes, L. - Respondent; Feliciano, F. P. - Respondent (replaced)</t>
        </is>
      </c>
      <c r="R184" s="33" t="inlineStr">
        <is>
          <t>Judicial review by national courts</t>
        </is>
      </c>
      <c r="S184" s="33" t="inlineStr">
        <is>
          <t>Award/decision upheld Judicial review by national courts</t>
        </is>
      </c>
      <c r="T184" s="33" t="inlineStr">
        <is>
          <t>Inglés</t>
        </is>
      </c>
      <c r="U184" s="33" t="inlineStr">
        <is>
          <t>http://www.italaw.com/cases/1530</t>
        </is>
      </c>
      <c r="V184" s="33" t="inlineStr">
        <is>
          <t>Sí</t>
        </is>
      </c>
    </row>
    <row r="185">
      <c r="A185" s="31" t="n">
        <v>184</v>
      </c>
      <c r="B185" s="31" t="inlineStr">
        <is>
          <t>Fraport v. Philippines (II)</t>
        </is>
      </c>
      <c r="C185" s="31" t="inlineStr">
        <is>
          <t>Fraport AG Frankfurt Airport Services Worldwide v. Republic of the Philippines (II) (ICSID Case No. ARB/11/12)</t>
        </is>
      </c>
      <c r="D185" s="31" t="inlineStr">
        <is>
          <t>Philippines</t>
        </is>
      </c>
      <c r="E185" s="31" t="inlineStr">
        <is>
          <t>Asia Sur-Este/Pacífico</t>
        </is>
      </c>
      <c r="F185" s="31" t="inlineStr">
        <is>
          <t>Germany</t>
        </is>
      </c>
      <c r="G185" s="31" t="n">
        <v>2011</v>
      </c>
      <c r="H185" s="31" t="inlineStr">
        <is>
          <t>No - ganó el Estado</t>
        </is>
      </c>
      <c r="I185" s="31" t="inlineStr">
        <is>
          <t>No</t>
        </is>
      </c>
      <c r="J185" s="31" t="inlineStr"/>
      <c r="K185" s="31" t="inlineStr">
        <is>
          <t>425.00 USD</t>
        </is>
      </c>
      <c r="L185" s="31" t="inlineStr"/>
      <c r="M185" s="31" t="inlineStr">
        <is>
          <t>Tertiary - H - Transportation and storage</t>
        </is>
      </c>
      <c r="N185" s="31" t="inlineStr"/>
      <c r="O185" s="31" t="inlineStr">
        <is>
          <t>Germany - Philippines BIT (1997)</t>
        </is>
      </c>
      <c r="P185" s="31" t="inlineStr"/>
      <c r="Q185" s="31" t="inlineStr">
        <is>
          <t>Bernardini, P. - President; Alexandrov, S. A. - Claimant; van den Berg, A. J. - Respondent</t>
        </is>
      </c>
      <c r="R185" s="31" t="inlineStr"/>
      <c r="S185" s="31" t="inlineStr"/>
      <c r="T185" s="31" t="inlineStr"/>
      <c r="U185" s="31" t="inlineStr">
        <is>
          <t>http://www.italaw.com/cases/2836</t>
        </is>
      </c>
      <c r="V185" s="31" t="inlineStr">
        <is>
          <t>Pendiente</t>
        </is>
      </c>
    </row>
    <row r="186">
      <c r="A186" s="32" t="n">
        <v>185</v>
      </c>
      <c r="B186" s="32" t="inlineStr">
        <is>
          <t>Gambrinus v. Venezuela</t>
        </is>
      </c>
      <c r="C186" s="32" t="inlineStr">
        <is>
          <t>Gambrinus, Corp. v. Bolivarian Republic of Venezuela (ICSID Case No. ARB/11/31)</t>
        </is>
      </c>
      <c r="D186" s="32" t="inlineStr">
        <is>
          <t>Venezuela, Bolivarian Republic of</t>
        </is>
      </c>
      <c r="E186" s="32" t="inlineStr">
        <is>
          <t>América del Sur</t>
        </is>
      </c>
      <c r="F186" s="32" t="inlineStr">
        <is>
          <t>Barbados</t>
        </is>
      </c>
      <c r="G186" s="32" t="n">
        <v>2011</v>
      </c>
      <c r="H186" s="32" t="inlineStr">
        <is>
          <t>No - ganó el Estado</t>
        </is>
      </c>
      <c r="I186" s="32" t="inlineStr">
        <is>
          <t>No</t>
        </is>
      </c>
      <c r="J186" s="32" t="inlineStr">
        <is>
          <t>TJE - Trato Justo y Equitativo | Expropiación</t>
        </is>
      </c>
      <c r="K186" s="32" t="inlineStr">
        <is>
          <t>150.40 USD</t>
        </is>
      </c>
      <c r="L186" s="32" t="inlineStr"/>
      <c r="M186" s="32" t="inlineStr">
        <is>
          <t>Secondary - C - Manufacturing</t>
        </is>
      </c>
      <c r="N186" s="32" t="inlineStr">
        <is>
          <t>Nacionalización</t>
        </is>
      </c>
      <c r="O186" s="32" t="inlineStr">
        <is>
          <t>Barbados - Venezuela, Bolivarian Republic of BIT (1994)</t>
        </is>
      </c>
      <c r="P186" s="32" t="inlineStr"/>
      <c r="Q186" s="32" t="inlineStr">
        <is>
          <t>Bernardini, P. - President; Lalonde, M. - Claimant; Dupuy, P.-M. - Respondent</t>
        </is>
      </c>
      <c r="R186" s="32" t="inlineStr">
        <is>
          <t>ICSID annulment proceedings</t>
        </is>
      </c>
      <c r="S186" s="32" t="inlineStr">
        <is>
          <t>Award/decision upheld ICSID annulment proceedings</t>
        </is>
      </c>
      <c r="T186" s="32" t="inlineStr">
        <is>
          <t>Inglés</t>
        </is>
      </c>
      <c r="U186" s="32" t="inlineStr">
        <is>
          <t>https://www.italaw.com/cases/6290</t>
        </is>
      </c>
      <c r="V186" s="32" t="inlineStr">
        <is>
          <t>Sí</t>
        </is>
      </c>
    </row>
    <row r="187">
      <c r="A187" s="33" t="n">
        <v>186</v>
      </c>
      <c r="B187" s="33" t="inlineStr">
        <is>
          <t>Garanti Koza v. Turkmenistan</t>
        </is>
      </c>
      <c r="C187" s="33" t="inlineStr">
        <is>
          <t>Garanti Koza LLP v. Turkmenistan (ICSID Case No. ARB/11/20)</t>
        </is>
      </c>
      <c r="D187" s="33" t="inlineStr">
        <is>
          <t>Turkmenistan</t>
        </is>
      </c>
      <c r="E187" s="33" t="inlineStr">
        <is>
          <t>Este Europa/Asia Central</t>
        </is>
      </c>
      <c r="F187" s="33" t="inlineStr">
        <is>
          <t>United Kingdom</t>
        </is>
      </c>
      <c r="G187" s="33" t="n">
        <v>2011</v>
      </c>
      <c r="H187" s="33" t="inlineStr">
        <is>
          <t>Sí con daños</t>
        </is>
      </c>
      <c r="I187" s="33" t="inlineStr">
        <is>
          <t>Sí</t>
        </is>
      </c>
      <c r="J187" s="33" t="inlineStr">
        <is>
          <t>TJE - Trato Justo y Equitativo | Expropiación | Protección y Seguridad Plenas | Cláusula Paraguas</t>
        </is>
      </c>
      <c r="K187" s="33" t="inlineStr">
        <is>
          <t>46.10 USD</t>
        </is>
      </c>
      <c r="L187" s="33" t="inlineStr">
        <is>
          <t>2.50 USD</t>
        </is>
      </c>
      <c r="M187" s="33" t="inlineStr">
        <is>
          <t>Tertiary - F - Construction</t>
        </is>
      </c>
      <c r="N187" s="33" t="inlineStr"/>
      <c r="O187" s="33" t="inlineStr">
        <is>
          <t>Turkmenistan - United Kingdom BIT (1995);
Turkey - Turkmenistan BIT (1992)</t>
        </is>
      </c>
      <c r="P187" s="33" t="inlineStr"/>
      <c r="Q187" s="33" t="inlineStr">
        <is>
          <t>Townsend, J. M. - President; Boisson de Chazournes, L. - Claimant; Lambrou, G. C. - Respondent</t>
        </is>
      </c>
      <c r="R187" s="33" t="inlineStr"/>
      <c r="S187" s="33" t="inlineStr"/>
      <c r="T187" s="33" t="inlineStr">
        <is>
          <t>Inglés</t>
        </is>
      </c>
      <c r="U187" s="33" t="inlineStr">
        <is>
          <t>http://www.italaw.com/cases/2176</t>
        </is>
      </c>
      <c r="V187" s="33" t="inlineStr">
        <is>
          <t>Sí</t>
        </is>
      </c>
    </row>
    <row r="188">
      <c r="A188" s="32" t="n">
        <v>187</v>
      </c>
      <c r="B188" s="32" t="inlineStr">
        <is>
          <t>Highbury v. Venezuela (I)</t>
        </is>
      </c>
      <c r="C188" s="32" t="inlineStr">
        <is>
          <t>Highbury International AVV and Ramstein Trading Inc. v. Bolivarian Republic of Venezuela (I) (ICSID Case No. ARB/11/1)</t>
        </is>
      </c>
      <c r="D188" s="32" t="inlineStr">
        <is>
          <t>Venezuela, Bolivarian Republic of</t>
        </is>
      </c>
      <c r="E188" s="32" t="inlineStr">
        <is>
          <t>América del Sur</t>
        </is>
      </c>
      <c r="F188" s="32" t="inlineStr">
        <is>
          <t>Netherlands;
Panama</t>
        </is>
      </c>
      <c r="G188" s="32" t="n">
        <v>2011</v>
      </c>
      <c r="H188" s="32" t="inlineStr">
        <is>
          <t>No - ganó el Estado</t>
        </is>
      </c>
      <c r="I188" s="32" t="inlineStr">
        <is>
          <t>No</t>
        </is>
      </c>
      <c r="J188" s="32" t="inlineStr">
        <is>
          <t>Expropiación</t>
        </is>
      </c>
      <c r="K188" s="32" t="inlineStr">
        <is>
          <t>633.00 USD</t>
        </is>
      </c>
      <c r="L188" s="32" t="inlineStr"/>
      <c r="M188" s="32" t="inlineStr">
        <is>
          <t>Primary - B - Mining and quarrying</t>
        </is>
      </c>
      <c r="N188" s="32" t="inlineStr"/>
      <c r="O188" s="32" t="inlineStr">
        <is>
          <t>Netherlands - Venezuela, Bolivarian Republic of BIT (1991)</t>
        </is>
      </c>
      <c r="P188" s="32" t="inlineStr"/>
      <c r="Q188" s="32" t="inlineStr">
        <is>
          <t>Barros Bourie, E. - President; Tawil, G. S. - Claimant; von Wobeser, C. - Respondent</t>
        </is>
      </c>
      <c r="R188" s="32" t="inlineStr">
        <is>
          <t>ICSID annulment proceedings</t>
        </is>
      </c>
      <c r="S188" s="32" t="inlineStr">
        <is>
          <t>Award/decision upheld ICSID annulment proceedings</t>
        </is>
      </c>
      <c r="T188" s="32" t="inlineStr">
        <is>
          <t>Indeterminado</t>
        </is>
      </c>
      <c r="U188" s="32" t="inlineStr">
        <is>
          <t>http://www.italaw.com/cases/2250</t>
        </is>
      </c>
      <c r="V188" s="32" t="inlineStr">
        <is>
          <t>Sí</t>
        </is>
      </c>
    </row>
    <row r="189">
      <c r="A189" s="33" t="n">
        <v>188</v>
      </c>
      <c r="B189" s="33" t="inlineStr">
        <is>
          <t>Koch Minerals v. Venezuela</t>
        </is>
      </c>
      <c r="C189" s="33" t="inlineStr">
        <is>
          <t>Koch Minerals Sàrl and Koch Nitrogen International Sàrl v. Bolivarian Republic of Venezuela (ICSID Case No. ARB/11/19)</t>
        </is>
      </c>
      <c r="D189" s="33" t="inlineStr">
        <is>
          <t>Venezuela, Bolivarian Republic of</t>
        </is>
      </c>
      <c r="E189" s="33" t="inlineStr">
        <is>
          <t>América del Sur</t>
        </is>
      </c>
      <c r="F189" s="33" t="inlineStr">
        <is>
          <t>Switzerland</t>
        </is>
      </c>
      <c r="G189" s="33" t="n">
        <v>2011</v>
      </c>
      <c r="H189" s="33" t="inlineStr">
        <is>
          <t>Sí con daños</t>
        </is>
      </c>
      <c r="I189" s="33" t="inlineStr">
        <is>
          <t>Sí</t>
        </is>
      </c>
      <c r="J189" s="33" t="inlineStr">
        <is>
          <t>Expropiación</t>
        </is>
      </c>
      <c r="K189" s="33" t="inlineStr">
        <is>
          <t>672.40 USD</t>
        </is>
      </c>
      <c r="L189" s="33" t="inlineStr">
        <is>
          <t>325.10 USD</t>
        </is>
      </c>
      <c r="M189" s="33" t="inlineStr">
        <is>
          <t>Secondary - C - Manufacturing</t>
        </is>
      </c>
      <c r="N189" s="33" t="inlineStr">
        <is>
          <t>Medida fiscal/impositiva</t>
        </is>
      </c>
      <c r="O189" s="33" t="inlineStr">
        <is>
          <t>Switzerland - Venezuela, Bolivarian Republic of BIT (1993)</t>
        </is>
      </c>
      <c r="P189" s="33" t="inlineStr"/>
      <c r="Q189" s="33" t="inlineStr">
        <is>
          <t>Veeder, V. V. - President; Lalonde, M. - Claimant; Feliciano, F. P. - Respondent (replaced); Douglas, Z. - Respondent</t>
        </is>
      </c>
      <c r="R189" s="33" t="inlineStr">
        <is>
          <t>ICSID annulment proceedings</t>
        </is>
      </c>
      <c r="S189" s="33" t="inlineStr">
        <is>
          <t>Award/decision upheld ICSID annulment proceedings</t>
        </is>
      </c>
      <c r="T189" s="33" t="inlineStr">
        <is>
          <t>Inglés</t>
        </is>
      </c>
      <c r="U189" s="33" t="inlineStr">
        <is>
          <t>http://www.italaw.com/cases/2469</t>
        </is>
      </c>
      <c r="V189" s="33" t="inlineStr">
        <is>
          <t>Sí</t>
        </is>
      </c>
    </row>
    <row r="190">
      <c r="A190" s="32" t="n">
        <v>189</v>
      </c>
      <c r="B190" s="32" t="inlineStr">
        <is>
          <t>Levy and Gremcitel v. Peru</t>
        </is>
      </c>
      <c r="C190" s="32" t="inlineStr">
        <is>
          <t>Renée Rose Levy and Gremcitel S.A. v. Republic of Peru (ICSID Case No. ARB/11/17)</t>
        </is>
      </c>
      <c r="D190" s="32" t="inlineStr">
        <is>
          <t>Peru</t>
        </is>
      </c>
      <c r="E190" s="32" t="inlineStr">
        <is>
          <t>América del Sur</t>
        </is>
      </c>
      <c r="F190" s="32" t="inlineStr">
        <is>
          <t>France</t>
        </is>
      </c>
      <c r="G190" s="32" t="n">
        <v>2011</v>
      </c>
      <c r="H190" s="32" t="inlineStr">
        <is>
          <t>No - ganó el Estado</t>
        </is>
      </c>
      <c r="I190" s="32" t="inlineStr">
        <is>
          <t>No</t>
        </is>
      </c>
      <c r="J190" s="32" t="inlineStr"/>
      <c r="K190" s="32" t="inlineStr">
        <is>
          <t>41000.00 USD</t>
        </is>
      </c>
      <c r="L190" s="32" t="inlineStr"/>
      <c r="M190" s="32" t="inlineStr">
        <is>
          <t>Tertiary - L - Real estate activities</t>
        </is>
      </c>
      <c r="N190" s="32" t="inlineStr"/>
      <c r="O190" s="32" t="inlineStr">
        <is>
          <t>France - Peru BIT (1993)</t>
        </is>
      </c>
      <c r="P190" s="32" t="inlineStr"/>
      <c r="Q190" s="32" t="inlineStr">
        <is>
          <t>Kaufmann-Kohler, G. - President; Zuleta, E. - Claimant; Vinuesa, R. E. - Respondent</t>
        </is>
      </c>
      <c r="R190" s="32" t="inlineStr"/>
      <c r="S190" s="32" t="inlineStr"/>
      <c r="T190" s="32" t="inlineStr">
        <is>
          <t>Inglés</t>
        </is>
      </c>
      <c r="U190" s="32" t="inlineStr">
        <is>
          <t>http://www.italaw.com/cases/2556</t>
        </is>
      </c>
      <c r="V190" s="32" t="inlineStr">
        <is>
          <t>Sí</t>
        </is>
      </c>
    </row>
    <row r="191">
      <c r="A191" s="33" t="n">
        <v>190</v>
      </c>
      <c r="B191" s="33" t="inlineStr">
        <is>
          <t>Longreef v. Venezuela</t>
        </is>
      </c>
      <c r="C191" s="33" t="inlineStr">
        <is>
          <t>Longreef Investments A.V.V. v. Bolivarian Republic of Venezuela (ICSID Case No. ARB/11/5)</t>
        </is>
      </c>
      <c r="D191" s="33" t="inlineStr">
        <is>
          <t>Venezuela, Bolivarian Republic of</t>
        </is>
      </c>
      <c r="E191" s="33" t="inlineStr">
        <is>
          <t>América del Sur</t>
        </is>
      </c>
      <c r="F191" s="33" t="inlineStr">
        <is>
          <t>Netherlands</t>
        </is>
      </c>
      <c r="G191" s="33" t="n">
        <v>2011</v>
      </c>
      <c r="H191" s="33" t="inlineStr">
        <is>
          <t>Sí con daños</t>
        </is>
      </c>
      <c r="I191" s="33" t="inlineStr">
        <is>
          <t>Sí</t>
        </is>
      </c>
      <c r="J191" s="33" t="inlineStr">
        <is>
          <t>TJE - Trato Justo y Equitativo | Expropiación</t>
        </is>
      </c>
      <c r="K191" s="33" t="inlineStr">
        <is>
          <t>500.00 USD</t>
        </is>
      </c>
      <c r="L191" s="33" t="inlineStr">
        <is>
          <t>43.00 USD</t>
        </is>
      </c>
      <c r="M191" s="33" t="inlineStr">
        <is>
          <t>Secondary - C - Manufacturing</t>
        </is>
      </c>
      <c r="N191" s="33" t="inlineStr">
        <is>
          <t>Rescisión/terminación de contrato | Medida fiscal/impositiva | Nacionalización</t>
        </is>
      </c>
      <c r="O191" s="33" t="inlineStr">
        <is>
          <t>Netherlands - Venezuela, Bolivarian Republic of BIT (1991)</t>
        </is>
      </c>
      <c r="P191" s="33" t="inlineStr"/>
      <c r="Q191" s="33" t="inlineStr">
        <is>
          <t>Edward, D. A. O. - President; Gómez-Pinzón, E. - Claimant; Mourre, A. - Respondent (replaced); Malintoppi, L. - Respondent</t>
        </is>
      </c>
      <c r="R191" s="33" t="inlineStr">
        <is>
          <t>ICSID annulment proceedings</t>
        </is>
      </c>
      <c r="S191" s="33" t="inlineStr">
        <is>
          <t>Unknown ICSID annulment proceedings</t>
        </is>
      </c>
      <c r="T191" s="33" t="inlineStr">
        <is>
          <t>Indeterminado</t>
        </is>
      </c>
      <c r="U191" s="33" t="inlineStr">
        <is>
          <t>http://italaw.com/cases/2406</t>
        </is>
      </c>
      <c r="V191" s="33" t="inlineStr">
        <is>
          <t>Sí</t>
        </is>
      </c>
    </row>
    <row r="192">
      <c r="A192" s="32" t="n">
        <v>191</v>
      </c>
      <c r="B192" s="32" t="inlineStr">
        <is>
          <t>Mamidoil v. Albania</t>
        </is>
      </c>
      <c r="C192" s="32" t="inlineStr">
        <is>
          <t>Mamidoil Jetoil Greek Petroleum Products Societe Anonyme S.A. v. Republic of Albania (ICSID Case No. ARB/11/24)</t>
        </is>
      </c>
      <c r="D192" s="32" t="inlineStr">
        <is>
          <t>Albania</t>
        </is>
      </c>
      <c r="E192" s="32" t="inlineStr">
        <is>
          <t>Europa Occidental</t>
        </is>
      </c>
      <c r="F192" s="32" t="inlineStr">
        <is>
          <t>Greece</t>
        </is>
      </c>
      <c r="G192" s="32" t="n">
        <v>2011</v>
      </c>
      <c r="H192" s="32" t="inlineStr">
        <is>
          <t>No - ganó el Estado</t>
        </is>
      </c>
      <c r="I192" s="32" t="inlineStr">
        <is>
          <t>No</t>
        </is>
      </c>
      <c r="J192" s="32" t="inlineStr">
        <is>
          <t>TJE - Trato Justo y Equitativo | Expropiación</t>
        </is>
      </c>
      <c r="K192" s="32" t="inlineStr">
        <is>
          <t>23.00 USD</t>
        </is>
      </c>
      <c r="L192" s="32" t="inlineStr"/>
      <c r="M192" s="32" t="inlineStr">
        <is>
          <t>Primary - B - Mining and quarrying</t>
        </is>
      </c>
      <c r="N192" s="32" t="inlineStr"/>
      <c r="O192" s="32" t="inlineStr">
        <is>
          <t>Albania - Greece BIT (1991);
The Energy Charter Treaty (1994)</t>
        </is>
      </c>
      <c r="P192" s="32" t="inlineStr"/>
      <c r="Q192" s="32" t="inlineStr">
        <is>
          <t>Knieper, R. - President; Hammond, S. A. - Claimant; Banifatemi, Y. - Respondent</t>
        </is>
      </c>
      <c r="R192" s="32" t="inlineStr">
        <is>
          <t>ICSID annulment proceedings</t>
        </is>
      </c>
      <c r="S192" s="32" t="inlineStr">
        <is>
          <t>Discontinued ICSID annulment proceedings</t>
        </is>
      </c>
      <c r="T192" s="32" t="inlineStr">
        <is>
          <t>Inglés</t>
        </is>
      </c>
      <c r="U192" s="32" t="inlineStr">
        <is>
          <t>http://www.italaw.com/cases/3003</t>
        </is>
      </c>
      <c r="V192" s="32" t="inlineStr">
        <is>
          <t>Sí</t>
        </is>
      </c>
    </row>
    <row r="193">
      <c r="A193" s="32" t="n">
        <v>192</v>
      </c>
      <c r="B193" s="32" t="inlineStr">
        <is>
          <t>National Gas v. Egypt</t>
        </is>
      </c>
      <c r="C193" s="32" t="inlineStr">
        <is>
          <t>National Gas S.A.E. v. Arab Republic of Egypt (ICSID Case No. ARB/11/7)</t>
        </is>
      </c>
      <c r="D193" s="32" t="inlineStr">
        <is>
          <t>Egypt</t>
        </is>
      </c>
      <c r="E193" s="32" t="inlineStr">
        <is>
          <t>Medio Oriente/Norte África</t>
        </is>
      </c>
      <c r="F193" s="32" t="inlineStr">
        <is>
          <t>United Arab Emirates</t>
        </is>
      </c>
      <c r="G193" s="32" t="n">
        <v>2011</v>
      </c>
      <c r="H193" s="32" t="inlineStr">
        <is>
          <t>No - ganó el Estado</t>
        </is>
      </c>
      <c r="I193" s="32" t="inlineStr">
        <is>
          <t>No</t>
        </is>
      </c>
      <c r="J193" s="32" t="inlineStr">
        <is>
          <t>Expropiación | Cláusula Paraguas</t>
        </is>
      </c>
      <c r="K193" s="32" t="inlineStr">
        <is>
          <t>36.00 USD</t>
        </is>
      </c>
      <c r="L193" s="32" t="inlineStr"/>
      <c r="M193" s="32" t="inlineStr">
        <is>
          <t>Tertiary - H - Transportation and storage</t>
        </is>
      </c>
      <c r="N193" s="32" t="inlineStr"/>
      <c r="O193" s="32" t="inlineStr">
        <is>
          <t>Egypt - United Arab Emirates BIT (1997)</t>
        </is>
      </c>
      <c r="P193" s="32" t="inlineStr">
        <is>
          <t>90%  of  the  shares</t>
        </is>
      </c>
      <c r="Q193" s="32" t="inlineStr">
        <is>
          <t>Veeder, V. V. - President; Fortier, L. Y. - Claimant; Stern, B. - Respondent</t>
        </is>
      </c>
      <c r="R193" s="32" t="inlineStr"/>
      <c r="S193" s="32" t="inlineStr"/>
      <c r="T193" s="32" t="inlineStr">
        <is>
          <t>Inglés</t>
        </is>
      </c>
      <c r="U193" s="32" t="inlineStr">
        <is>
          <t>http://www.italaw.com/cases/2494</t>
        </is>
      </c>
      <c r="V193" s="32" t="inlineStr">
        <is>
          <t>Sí</t>
        </is>
      </c>
    </row>
    <row r="194">
      <c r="A194" s="32" t="n">
        <v>193</v>
      </c>
      <c r="B194" s="32" t="inlineStr">
        <is>
          <t>Nova Scotia Power v. Venezuela (II)</t>
        </is>
      </c>
      <c r="C194" s="32" t="inlineStr">
        <is>
          <t>Nova Scotia Power Incorporated v. Bolivarian Republic of Venezuela (II) (ICSID Case No. ARB(AF)/11/1)</t>
        </is>
      </c>
      <c r="D194" s="32" t="inlineStr">
        <is>
          <t>Venezuela, Bolivarian Republic of</t>
        </is>
      </c>
      <c r="E194" s="32" t="inlineStr">
        <is>
          <t>América del Sur</t>
        </is>
      </c>
      <c r="F194" s="32" t="inlineStr">
        <is>
          <t>Canada</t>
        </is>
      </c>
      <c r="G194" s="32" t="n">
        <v>2011</v>
      </c>
      <c r="H194" s="32" t="inlineStr">
        <is>
          <t>No - ganó el Estado</t>
        </is>
      </c>
      <c r="I194" s="32" t="inlineStr">
        <is>
          <t>No</t>
        </is>
      </c>
      <c r="J194" s="32" t="inlineStr">
        <is>
          <t>TJE - Trato Justo y Equitativo | Cláusula Paraguas</t>
        </is>
      </c>
      <c r="K194" s="32" t="inlineStr">
        <is>
          <t>180.00 USD</t>
        </is>
      </c>
      <c r="L194" s="32" t="inlineStr"/>
      <c r="M194" s="32" t="inlineStr">
        <is>
          <t>Primary - B - Mining and quarrying</t>
        </is>
      </c>
      <c r="N194" s="32" t="inlineStr"/>
      <c r="O194" s="32" t="inlineStr">
        <is>
          <t>Canada - Venezuela, Bolivarian Republic of BIT (1996)</t>
        </is>
      </c>
      <c r="P194" s="32" t="inlineStr"/>
      <c r="Q194" s="32" t="inlineStr">
        <is>
          <t>van Houtte, H. - President; Williams, D. A. R. - Claimant; Vinuesa, R. E. - Respondent</t>
        </is>
      </c>
      <c r="R194" s="32" t="inlineStr"/>
      <c r="S194" s="32" t="inlineStr"/>
      <c r="T194" s="32" t="inlineStr">
        <is>
          <t>Inglés</t>
        </is>
      </c>
      <c r="U194" s="32" t="inlineStr">
        <is>
          <t>http://www.italaw.com/cases/2532</t>
        </is>
      </c>
      <c r="V194" s="32" t="inlineStr">
        <is>
          <t>Sí</t>
        </is>
      </c>
    </row>
    <row r="195">
      <c r="A195" s="33" t="n">
        <v>194</v>
      </c>
      <c r="B195" s="33" t="inlineStr">
        <is>
          <t>OIEG v. Venezuela</t>
        </is>
      </c>
      <c r="C195" s="33" t="inlineStr">
        <is>
          <t>OI European Group B.V. v. Bolivarian Republic of Venezuela (ICSID Case No. ARB/11/25)</t>
        </is>
      </c>
      <c r="D195" s="33" t="inlineStr">
        <is>
          <t>Venezuela, Bolivarian Republic of</t>
        </is>
      </c>
      <c r="E195" s="33" t="inlineStr">
        <is>
          <t>América del Sur</t>
        </is>
      </c>
      <c r="F195" s="33" t="inlineStr">
        <is>
          <t>Netherlands</t>
        </is>
      </c>
      <c r="G195" s="33" t="n">
        <v>2011</v>
      </c>
      <c r="H195" s="33" t="inlineStr">
        <is>
          <t>Sí con daños</t>
        </is>
      </c>
      <c r="I195" s="33" t="inlineStr">
        <is>
          <t>Sí</t>
        </is>
      </c>
      <c r="J195" s="33" t="inlineStr">
        <is>
          <t>TJE - Trato Justo y Equitativo | Expropiación</t>
        </is>
      </c>
      <c r="K195" s="33" t="inlineStr">
        <is>
          <t>929.50 USD</t>
        </is>
      </c>
      <c r="L195" s="33" t="inlineStr">
        <is>
          <t>372.40 USD</t>
        </is>
      </c>
      <c r="M195" s="33" t="inlineStr">
        <is>
          <t>Secondary - C - Manufacturing</t>
        </is>
      </c>
      <c r="N195" s="33" t="inlineStr">
        <is>
          <t>Medidas de emergencia económica (pesificación/corralito)</t>
        </is>
      </c>
      <c r="O195" s="33" t="inlineStr">
        <is>
          <t>Netherlands - Venezuela, Bolivarian Republic of BIT (1991)</t>
        </is>
      </c>
      <c r="P195" s="33" t="inlineStr"/>
      <c r="Q195" s="33" t="inlineStr">
        <is>
          <t>Fernández-Armesto, J. - President; Orrego Vicuña, F. - Claimant; Mourre, A. - Respondent</t>
        </is>
      </c>
      <c r="R195" s="33" t="inlineStr">
        <is>
          <t>ICSID annulment proceedings</t>
        </is>
      </c>
      <c r="S195" s="33" t="inlineStr">
        <is>
          <t>Award/decision upheld ICSID annulment proceedings</t>
        </is>
      </c>
      <c r="T195" s="33" t="inlineStr">
        <is>
          <t>Indeterminado</t>
        </is>
      </c>
      <c r="U195" s="33" t="inlineStr">
        <is>
          <t>http://www.italaw.com/cases/2979</t>
        </is>
      </c>
      <c r="V195" s="33" t="inlineStr">
        <is>
          <t>Sí</t>
        </is>
      </c>
    </row>
    <row r="196">
      <c r="A196" s="32" t="n">
        <v>195</v>
      </c>
      <c r="B196" s="32" t="inlineStr">
        <is>
          <t>Rafat v. Indonesia</t>
        </is>
      </c>
      <c r="C196" s="32" t="inlineStr">
        <is>
          <t>Rafat Ali Rizvi v. Republic of Indonesia (ICSID Case No. ARB/11/13)</t>
        </is>
      </c>
      <c r="D196" s="32" t="inlineStr">
        <is>
          <t>Indonesia</t>
        </is>
      </c>
      <c r="E196" s="32" t="inlineStr">
        <is>
          <t>Asia Sur-Este/Pacífico</t>
        </is>
      </c>
      <c r="F196" s="32" t="inlineStr">
        <is>
          <t>United Kingdom</t>
        </is>
      </c>
      <c r="G196" s="32" t="n">
        <v>2011</v>
      </c>
      <c r="H196" s="32" t="inlineStr">
        <is>
          <t>No - ganó el Estado</t>
        </is>
      </c>
      <c r="I196" s="32" t="inlineStr">
        <is>
          <t>No</t>
        </is>
      </c>
      <c r="J196" s="32" t="inlineStr">
        <is>
          <t>NMF - Nación Más Favorecida</t>
        </is>
      </c>
      <c r="K196" s="32" t="inlineStr">
        <is>
          <t>75.00 USD</t>
        </is>
      </c>
      <c r="L196" s="32" t="inlineStr"/>
      <c r="M196" s="32" t="inlineStr">
        <is>
          <t>Tertiary - K - Financial and insurance activities</t>
        </is>
      </c>
      <c r="N196" s="32" t="inlineStr"/>
      <c r="O196" s="32" t="inlineStr">
        <is>
          <t>Indonesia - United Kingdom BIT (1976)</t>
        </is>
      </c>
      <c r="P196" s="32" t="inlineStr"/>
      <c r="Q196" s="32" t="inlineStr">
        <is>
          <t>Griffith, G. - President; Donoghue, J. E. - Claimant; Sornarajah, M. - Respondent</t>
        </is>
      </c>
      <c r="R196" s="32" t="inlineStr">
        <is>
          <t>ICSID annulment proceedings</t>
        </is>
      </c>
      <c r="S196" s="32" t="inlineStr">
        <is>
          <t>Discontinued ICSID annulment proceedings</t>
        </is>
      </c>
      <c r="T196" s="32" t="inlineStr">
        <is>
          <t>Inglés</t>
        </is>
      </c>
      <c r="U196" s="32" t="inlineStr">
        <is>
          <t>http://www.italaw.com/cases/1188</t>
        </is>
      </c>
      <c r="V196" s="32" t="inlineStr">
        <is>
          <t>Sí</t>
        </is>
      </c>
    </row>
    <row r="197">
      <c r="A197" s="32" t="n">
        <v>196</v>
      </c>
      <c r="B197" s="32" t="inlineStr">
        <is>
          <t>Ryan and others v. Poland</t>
        </is>
      </c>
      <c r="C197" s="32" t="inlineStr">
        <is>
          <t>Vincent J. Ryan, Schooner Capital LLC, and Atlantic Investment Partners LLC v. Republic of Poland (ICSID Case No. ARB(AF)/11/3)</t>
        </is>
      </c>
      <c r="D197" s="32" t="inlineStr">
        <is>
          <t>Poland</t>
        </is>
      </c>
      <c r="E197" s="32" t="inlineStr">
        <is>
          <t>Europa Occidental</t>
        </is>
      </c>
      <c r="F197" s="32" t="inlineStr">
        <is>
          <t>United States of America</t>
        </is>
      </c>
      <c r="G197" s="32" t="n">
        <v>2011</v>
      </c>
      <c r="H197" s="32" t="inlineStr">
        <is>
          <t>No - ganó el Estado</t>
        </is>
      </c>
      <c r="I197" s="32" t="inlineStr">
        <is>
          <t>No</t>
        </is>
      </c>
      <c r="J197" s="32" t="inlineStr">
        <is>
          <t>TJE - Trato Justo y Equitativo | Expropiación | Protección y Seguridad Plenas</t>
        </is>
      </c>
      <c r="K197" s="32" t="inlineStr">
        <is>
          <t>120.30 USD</t>
        </is>
      </c>
      <c r="L197" s="32" t="inlineStr"/>
      <c r="M197" s="32" t="inlineStr">
        <is>
          <t>Secondary - C - Manufacturing</t>
        </is>
      </c>
      <c r="N197" s="32" t="inlineStr"/>
      <c r="O197" s="32" t="inlineStr">
        <is>
          <t>Poland - United States of America BIT (1990)</t>
        </is>
      </c>
      <c r="P197" s="32" t="inlineStr"/>
      <c r="Q197" s="32" t="inlineStr">
        <is>
          <t>Khan, M. A. - President; Orrego Vicuña, F. - Claimant; von Wobeser, C. - Respondent</t>
        </is>
      </c>
      <c r="R197" s="32" t="inlineStr">
        <is>
          <t>Judicial review by national courts</t>
        </is>
      </c>
      <c r="S197" s="32" t="inlineStr">
        <is>
          <t>Award/decision upheld Judicial review by national courts</t>
        </is>
      </c>
      <c r="T197" s="32" t="inlineStr">
        <is>
          <t>Inglés</t>
        </is>
      </c>
      <c r="U197" s="32" t="inlineStr">
        <is>
          <t>http://www.italaw.com/cases/1734</t>
        </is>
      </c>
      <c r="V197" s="32" t="inlineStr">
        <is>
          <t>Sí</t>
        </is>
      </c>
    </row>
    <row r="198">
      <c r="A198" s="33" t="n">
        <v>197</v>
      </c>
      <c r="B198" s="33" t="inlineStr">
        <is>
          <t>Tenaris and Talta v. Venezuela (I)</t>
        </is>
      </c>
      <c r="C198" s="33" t="inlineStr">
        <is>
          <t>Tenaris S.A. and Talta - Trading e Marketing Sociedade Unipessoal Lda v. Bolivarian Republic of Venezuela (I) (ICSID Case No. ARB/11/26)</t>
        </is>
      </c>
      <c r="D198" s="33" t="inlineStr">
        <is>
          <t>Venezuela, Bolivarian Republic of</t>
        </is>
      </c>
      <c r="E198" s="33" t="inlineStr">
        <is>
          <t>América del Sur</t>
        </is>
      </c>
      <c r="F198" s="33" t="inlineStr">
        <is>
          <t>Portugal;
Luxembourg</t>
        </is>
      </c>
      <c r="G198" s="33" t="n">
        <v>2011</v>
      </c>
      <c r="H198" s="33" t="inlineStr">
        <is>
          <t>Sí con daños</t>
        </is>
      </c>
      <c r="I198" s="33" t="inlineStr">
        <is>
          <t>Sí</t>
        </is>
      </c>
      <c r="J198" s="33" t="inlineStr">
        <is>
          <t>TJE - Trato Justo y Equitativo | Expropiación</t>
        </is>
      </c>
      <c r="K198" s="33" t="inlineStr">
        <is>
          <t>299.30 USD</t>
        </is>
      </c>
      <c r="L198" s="33" t="inlineStr">
        <is>
          <t>87.30 USD</t>
        </is>
      </c>
      <c r="M198" s="33" t="inlineStr">
        <is>
          <t>Secondary - C - Manufacturing</t>
        </is>
      </c>
      <c r="N198" s="33" t="inlineStr">
        <is>
          <t>Nacionalización</t>
        </is>
      </c>
      <c r="O198" s="33" t="inlineStr">
        <is>
          <t>Portugal - Venezuela, Bolivarian Republic of BIT (1994);
BLEU (Belgium-Luxembourg Economic Union) - Venezuela, Bolivarian Republic of BIT (1998)</t>
        </is>
      </c>
      <c r="P198" s="33" t="inlineStr"/>
      <c r="Q198" s="33" t="inlineStr">
        <is>
          <t>Beechey, J. - President; Kessler, J. L. - Claimant; Landau, T. - Respondent</t>
        </is>
      </c>
      <c r="R198" s="33" t="inlineStr">
        <is>
          <t>ICSID annulment proceedings</t>
        </is>
      </c>
      <c r="S198" s="33" t="inlineStr">
        <is>
          <t>Award/decision upheld ICSID annulment proceedings</t>
        </is>
      </c>
      <c r="T198" s="33" t="inlineStr">
        <is>
          <t>Inglés</t>
        </is>
      </c>
      <c r="U198" s="33" t="inlineStr">
        <is>
          <t>http://www.italaw.com/cases/2084</t>
        </is>
      </c>
      <c r="V198" s="33" t="inlineStr">
        <is>
          <t>Sí</t>
        </is>
      </c>
    </row>
    <row r="199">
      <c r="A199" s="32" t="n">
        <v>198</v>
      </c>
      <c r="B199" s="32" t="inlineStr">
        <is>
          <t>Tulip Real Estate v. Turkey</t>
        </is>
      </c>
      <c r="C199" s="32" t="inlineStr">
        <is>
          <t>Tulip Real Estate Investment and Development Netherlands B.V. v. Republic of Turkey (ICSID Case No. ARB/11/28)</t>
        </is>
      </c>
      <c r="D199" s="32" t="inlineStr">
        <is>
          <t>Türkiye</t>
        </is>
      </c>
      <c r="E199" s="32" t="inlineStr">
        <is>
          <t>Sin clasificar</t>
        </is>
      </c>
      <c r="F199" s="32" t="inlineStr">
        <is>
          <t>Netherlands</t>
        </is>
      </c>
      <c r="G199" s="32" t="n">
        <v>2011</v>
      </c>
      <c r="H199" s="32" t="inlineStr">
        <is>
          <t>No - ganó el Estado</t>
        </is>
      </c>
      <c r="I199" s="32" t="inlineStr">
        <is>
          <t>No</t>
        </is>
      </c>
      <c r="J199" s="32" t="inlineStr">
        <is>
          <t>TJE - Trato Justo y Equitativo | Expropiación | Protección y Seguridad Plenas | Cláusula Paraguas</t>
        </is>
      </c>
      <c r="K199" s="32" t="inlineStr">
        <is>
          <t>450.00 USD</t>
        </is>
      </c>
      <c r="L199" s="32" t="inlineStr"/>
      <c r="M199" s="32" t="inlineStr">
        <is>
          <t>Tertiary - L - Real estate activities</t>
        </is>
      </c>
      <c r="N199" s="32" t="inlineStr"/>
      <c r="O199" s="32" t="inlineStr">
        <is>
          <t>Netherlands - Turkey BIT (1986)</t>
        </is>
      </c>
      <c r="P199" s="32" t="inlineStr">
        <is>
          <t>100% (wholly owned)</t>
        </is>
      </c>
      <c r="Q199" s="32" t="inlineStr">
        <is>
          <t>Griffith, G. - President; Jaffe, M. E. - Claimant; Knieper, R. - Respondent</t>
        </is>
      </c>
      <c r="R199" s="32" t="inlineStr">
        <is>
          <t>ICSID annulment proceedings</t>
        </is>
      </c>
      <c r="S199" s="32" t="inlineStr">
        <is>
          <t>Award/decision upheld ICSID annulment proceedings</t>
        </is>
      </c>
      <c r="T199" s="32" t="inlineStr">
        <is>
          <t>Inglés</t>
        </is>
      </c>
      <c r="U199" s="32" t="inlineStr">
        <is>
          <t>http://www.italaw.com/cases/1124</t>
        </is>
      </c>
      <c r="V199" s="32" t="inlineStr">
        <is>
          <t>Sí</t>
        </is>
      </c>
    </row>
    <row r="200">
      <c r="A200" s="32" t="n">
        <v>199</v>
      </c>
      <c r="B200" s="32" t="inlineStr">
        <is>
          <t>Vigotop v. Hungary</t>
        </is>
      </c>
      <c r="C200" s="32" t="inlineStr">
        <is>
          <t>Vigotop Limited v. Republic of Hungary (ICSID Case No. ARB/11/22)</t>
        </is>
      </c>
      <c r="D200" s="32" t="inlineStr">
        <is>
          <t>Hungary</t>
        </is>
      </c>
      <c r="E200" s="32" t="inlineStr">
        <is>
          <t>Europa Occidental</t>
        </is>
      </c>
      <c r="F200" s="32" t="inlineStr">
        <is>
          <t>Cyprus</t>
        </is>
      </c>
      <c r="G200" s="32" t="n">
        <v>2011</v>
      </c>
      <c r="H200" s="32" t="inlineStr">
        <is>
          <t>No - ganó el Estado</t>
        </is>
      </c>
      <c r="I200" s="32" t="inlineStr">
        <is>
          <t>No</t>
        </is>
      </c>
      <c r="J200" s="32" t="inlineStr">
        <is>
          <t>Expropiación</t>
        </is>
      </c>
      <c r="K200" s="32" t="inlineStr">
        <is>
          <t>312.60 EUR (425.60 USD)</t>
        </is>
      </c>
      <c r="L200" s="32" t="inlineStr"/>
      <c r="M200" s="32" t="inlineStr">
        <is>
          <t>Tertiary - L - Real estate activities</t>
        </is>
      </c>
      <c r="N200" s="32" t="inlineStr">
        <is>
          <t>Rescisión/terminación de contrato</t>
        </is>
      </c>
      <c r="O200" s="32" t="inlineStr">
        <is>
          <t>Cyprus - Hungary BIT (1989)</t>
        </is>
      </c>
      <c r="P200" s="32" t="inlineStr"/>
      <c r="Q200" s="32" t="inlineStr">
        <is>
          <t>Sachs, K. - President; Bishop, D. - Claimant; Heiskanen, V. - Respondent</t>
        </is>
      </c>
      <c r="R200" s="32" t="inlineStr"/>
      <c r="S200" s="32" t="inlineStr"/>
      <c r="T200" s="32" t="inlineStr">
        <is>
          <t>Inglés</t>
        </is>
      </c>
      <c r="U200" s="32" t="inlineStr">
        <is>
          <t>http://www.italaw.com/cases/2768</t>
        </is>
      </c>
      <c r="V200" s="32" t="inlineStr">
        <is>
          <t>Sí</t>
        </is>
      </c>
    </row>
    <row r="201">
      <c r="A201" s="34" t="n">
        <v>200</v>
      </c>
      <c r="B201" s="34" t="inlineStr">
        <is>
          <t>AES v. Kazakhstan</t>
        </is>
      </c>
      <c r="C201" s="34" t="inlineStr">
        <is>
          <t>AES Corporation and Tau Power B.V. v. Republic of Kazakhstan (ICSID Case No. ARB/10/16)</t>
        </is>
      </c>
      <c r="D201" s="34" t="inlineStr">
        <is>
          <t>Kazakhstan</t>
        </is>
      </c>
      <c r="E201" s="34" t="inlineStr">
        <is>
          <t>Este Europa/Asia Central</t>
        </is>
      </c>
      <c r="F201" s="34" t="inlineStr">
        <is>
          <t>United States of America;
Netherlands</t>
        </is>
      </c>
      <c r="G201" s="34" t="n">
        <v>2010</v>
      </c>
      <c r="H201" s="34" t="inlineStr">
        <is>
          <t>Sí sin daños</t>
        </is>
      </c>
      <c r="I201" s="34" t="inlineStr">
        <is>
          <t>Sí</t>
        </is>
      </c>
      <c r="J201" s="34" t="inlineStr">
        <is>
          <t>TJE - Trato Justo y Equitativo | Cláusula Paraguas</t>
        </is>
      </c>
      <c r="K201" s="34" t="inlineStr">
        <is>
          <t>1290.00 USD</t>
        </is>
      </c>
      <c r="L201" s="34" t="inlineStr">
        <is>
          <t>0.00 USD</t>
        </is>
      </c>
      <c r="M201" s="34" t="inlineStr">
        <is>
          <t>Tertiary - D - Electricity, gas, steam and air conditioning supply</t>
        </is>
      </c>
      <c r="N201" s="34" t="inlineStr"/>
      <c r="O201" s="34" t="inlineStr">
        <is>
          <t>Kazakhstan - United States of America BIT (1992);
The Energy Charter Treaty (1994)</t>
        </is>
      </c>
      <c r="P201" s="34" t="inlineStr"/>
      <c r="Q201" s="34" t="inlineStr">
        <is>
          <t>Tercier, P. - President; Born, G. B. - President (replaced); Sachs, K. - Claimant; Lowe, V. - Respondent</t>
        </is>
      </c>
      <c r="R201" s="34" t="inlineStr"/>
      <c r="S201" s="34" t="inlineStr"/>
      <c r="T201" s="34" t="inlineStr">
        <is>
          <t>Inglés</t>
        </is>
      </c>
      <c r="U201" s="34" t="inlineStr">
        <is>
          <t>http://www.italaw.com/cases/2288</t>
        </is>
      </c>
      <c r="V201" s="34" t="inlineStr">
        <is>
          <t>Sí</t>
        </is>
      </c>
    </row>
    <row r="202">
      <c r="A202" s="33" t="n">
        <v>201</v>
      </c>
      <c r="B202" s="33" t="inlineStr">
        <is>
          <t>Awdi v. Romania</t>
        </is>
      </c>
      <c r="C202" s="33" t="inlineStr">
        <is>
          <t>Hassan Awdi, Enterprise Business Consultants, Inc. and Alfa El Corporation v. Romania (ICSID Case No. ARB/10/13)</t>
        </is>
      </c>
      <c r="D202" s="33" t="inlineStr">
        <is>
          <t>Romania</t>
        </is>
      </c>
      <c r="E202" s="33" t="inlineStr">
        <is>
          <t>Europa Occidental</t>
        </is>
      </c>
      <c r="F202" s="33" t="inlineStr">
        <is>
          <t>United States of America</t>
        </is>
      </c>
      <c r="G202" s="33" t="n">
        <v>2010</v>
      </c>
      <c r="H202" s="33" t="inlineStr">
        <is>
          <t>Sí con daños</t>
        </is>
      </c>
      <c r="I202" s="33" t="inlineStr">
        <is>
          <t>Sí</t>
        </is>
      </c>
      <c r="J202" s="33" t="inlineStr">
        <is>
          <t>Expropiación</t>
        </is>
      </c>
      <c r="K202" s="33" t="inlineStr"/>
      <c r="L202" s="33" t="inlineStr">
        <is>
          <t>7.70 EUR (8.60 USD)</t>
        </is>
      </c>
      <c r="M202" s="33" t="inlineStr">
        <is>
          <t>Tertiary - J - Information and communication;
Tertiary - L - Real estate activities</t>
        </is>
      </c>
      <c r="N202" s="33" t="inlineStr">
        <is>
          <t>Nacionalización</t>
        </is>
      </c>
      <c r="O202" s="33" t="inlineStr">
        <is>
          <t>Romania - United States of America BIT (1992)</t>
        </is>
      </c>
      <c r="P202" s="33" t="inlineStr"/>
      <c r="Q202" s="33" t="inlineStr">
        <is>
          <t>Bernardini, P. - President; Gharavi, H. G. - Claimant; Dolzer, R. - Respondent</t>
        </is>
      </c>
      <c r="R202" s="33" t="inlineStr"/>
      <c r="S202" s="33" t="inlineStr"/>
      <c r="T202" s="33" t="inlineStr">
        <is>
          <t>Inglés</t>
        </is>
      </c>
      <c r="U202" s="33" t="inlineStr">
        <is>
          <t>http://www.italaw.com/cases/101</t>
        </is>
      </c>
      <c r="V202" s="33" t="inlineStr">
        <is>
          <t>Sí</t>
        </is>
      </c>
    </row>
    <row r="203">
      <c r="A203" s="33" t="n">
        <v>202</v>
      </c>
      <c r="B203" s="33" t="inlineStr">
        <is>
          <t>Border Timbers and others v. Zimbabwe</t>
        </is>
      </c>
      <c r="C203" s="33" t="inlineStr">
        <is>
          <t>Border Timbers Limited, Timber Products International (Private) Limited, and Hangani Development Co. (Private) Limited v. Republic of Zimbabwe (ICSID Case No. ARB/10/25)</t>
        </is>
      </c>
      <c r="D203" s="33" t="inlineStr">
        <is>
          <t>Zimbabwe</t>
        </is>
      </c>
      <c r="E203" s="33" t="inlineStr">
        <is>
          <t>África Subsahariana</t>
        </is>
      </c>
      <c r="F203" s="33" t="inlineStr">
        <is>
          <t>Switzerland</t>
        </is>
      </c>
      <c r="G203" s="33" t="n">
        <v>2010</v>
      </c>
      <c r="H203" s="33" t="inlineStr">
        <is>
          <t>Sí con daños</t>
        </is>
      </c>
      <c r="I203" s="33" t="inlineStr">
        <is>
          <t>Sí</t>
        </is>
      </c>
      <c r="J203" s="33" t="inlineStr"/>
      <c r="K203" s="33" t="inlineStr">
        <is>
          <t>345.40 USD</t>
        </is>
      </c>
      <c r="L203" s="33" t="inlineStr">
        <is>
          <t>125.00 USD</t>
        </is>
      </c>
      <c r="M203" s="33" t="inlineStr">
        <is>
          <t>Primary - A - Agriculture, forestry and fishing</t>
        </is>
      </c>
      <c r="N203" s="33" t="inlineStr"/>
      <c r="O203" s="33" t="inlineStr">
        <is>
          <t>Switzerland - Zimbabwe BIT (1996)</t>
        </is>
      </c>
      <c r="P203" s="33" t="inlineStr"/>
      <c r="Q203" s="33" t="inlineStr">
        <is>
          <t>Fortier, L. Y. - President; Williams, D. A. R. - Claimant; Hwang, M. - Respondent; Chen, A. - Respondent (replaced); Mutharika, A. P. - Respondent (replaced)</t>
        </is>
      </c>
      <c r="R203" s="33" t="inlineStr">
        <is>
          <t>ICSID annulment proceedings</t>
        </is>
      </c>
      <c r="S203" s="33" t="inlineStr">
        <is>
          <t>Award/decision upheld ICSID annulment proceedings</t>
        </is>
      </c>
      <c r="T203" s="33" t="inlineStr">
        <is>
          <t>Indeterminado</t>
        </is>
      </c>
      <c r="U203" s="33" t="inlineStr">
        <is>
          <t>http://www.italaw.com/cases/1470</t>
        </is>
      </c>
      <c r="V203" s="33" t="inlineStr">
        <is>
          <t>Sí</t>
        </is>
      </c>
    </row>
    <row r="204">
      <c r="A204" s="32" t="n">
        <v>203</v>
      </c>
      <c r="B204" s="32" t="inlineStr">
        <is>
          <t>Convial Callao v. Peru</t>
        </is>
      </c>
      <c r="C204" s="32" t="inlineStr">
        <is>
          <t>Convial Callao S.A. and CCI - Compañía de Concesiones de Infraestructura S.A. v. Republic of Peru (ICSID Case No. ARB/10/2)</t>
        </is>
      </c>
      <c r="D204" s="32" t="inlineStr">
        <is>
          <t>Peru</t>
        </is>
      </c>
      <c r="E204" s="32" t="inlineStr">
        <is>
          <t>América del Sur</t>
        </is>
      </c>
      <c r="F204" s="32" t="inlineStr">
        <is>
          <t>Argentina</t>
        </is>
      </c>
      <c r="G204" s="32" t="n">
        <v>2010</v>
      </c>
      <c r="H204" s="32" t="inlineStr">
        <is>
          <t>No - ganó el Estado</t>
        </is>
      </c>
      <c r="I204" s="32" t="inlineStr">
        <is>
          <t>No</t>
        </is>
      </c>
      <c r="J204" s="32" t="inlineStr">
        <is>
          <t>TJE - Trato Justo y Equitativo | Expropiación | NMF - Nación Más Favorecida</t>
        </is>
      </c>
      <c r="K204" s="32" t="inlineStr">
        <is>
          <t>105.00 USD</t>
        </is>
      </c>
      <c r="L204" s="32" t="inlineStr"/>
      <c r="M204" s="32" t="inlineStr">
        <is>
          <t>Tertiary - F - Construction</t>
        </is>
      </c>
      <c r="N204" s="32" t="inlineStr"/>
      <c r="O204" s="32" t="inlineStr">
        <is>
          <t>Argentina - Peru BIT (1994)</t>
        </is>
      </c>
      <c r="P204" s="32" t="inlineStr"/>
      <c r="Q204" s="32" t="inlineStr">
        <is>
          <t>Derains, Y. - President; Zuleta, E. - Claimant; Stern, B. - Respondent</t>
        </is>
      </c>
      <c r="R204" s="32" t="inlineStr"/>
      <c r="S204" s="32" t="inlineStr"/>
      <c r="T204" s="32" t="inlineStr">
        <is>
          <t>Indeterminado</t>
        </is>
      </c>
      <c r="U204" s="32" t="inlineStr">
        <is>
          <t>http://www.italaw.com/cases/2078</t>
        </is>
      </c>
      <c r="V204" s="32" t="inlineStr">
        <is>
          <t>Sí</t>
        </is>
      </c>
    </row>
    <row r="205">
      <c r="A205" s="32" t="n">
        <v>204</v>
      </c>
      <c r="B205" s="32" t="inlineStr">
        <is>
          <t>De Levi v. Peru</t>
        </is>
      </c>
      <c r="C205" s="32" t="inlineStr">
        <is>
          <t>Renée Rose Levy de Levi v. Republic of Peru (ICSID Case No. ARB/10/17)</t>
        </is>
      </c>
      <c r="D205" s="32" t="inlineStr">
        <is>
          <t>Peru</t>
        </is>
      </c>
      <c r="E205" s="32" t="inlineStr">
        <is>
          <t>América del Sur</t>
        </is>
      </c>
      <c r="F205" s="32" t="inlineStr">
        <is>
          <t>France</t>
        </is>
      </c>
      <c r="G205" s="32" t="n">
        <v>2010</v>
      </c>
      <c r="H205" s="32" t="inlineStr">
        <is>
          <t>No - ganó el Estado</t>
        </is>
      </c>
      <c r="I205" s="32" t="inlineStr">
        <is>
          <t>No</t>
        </is>
      </c>
      <c r="J205" s="32" t="inlineStr">
        <is>
          <t>TJE - Trato Justo y Equitativo | Expropiación | Protección y Seguridad Plenas | Trato Nacional</t>
        </is>
      </c>
      <c r="K205" s="32" t="inlineStr">
        <is>
          <t>6989.00 USD</t>
        </is>
      </c>
      <c r="L205" s="32" t="inlineStr"/>
      <c r="M205" s="32" t="inlineStr">
        <is>
          <t>Tertiary - K - Financial and insurance activities</t>
        </is>
      </c>
      <c r="N205" s="32" t="inlineStr"/>
      <c r="O205" s="32" t="inlineStr">
        <is>
          <t>France - Peru BIT (1993)</t>
        </is>
      </c>
      <c r="P205" s="32" t="inlineStr"/>
      <c r="Q205" s="32" t="inlineStr">
        <is>
          <t>Oreamuno Blanco, R. - President; Morales Godoy, J. - Claimant; Hanotiau, B. - Respondent</t>
        </is>
      </c>
      <c r="R205" s="32" t="inlineStr">
        <is>
          <t>ICSID annulment proceedings</t>
        </is>
      </c>
      <c r="S205" s="32" t="inlineStr">
        <is>
          <t>Discontinued ICSID annulment proceedings</t>
        </is>
      </c>
      <c r="T205" s="32" t="inlineStr">
        <is>
          <t>Inglés</t>
        </is>
      </c>
      <c r="U205" s="32" t="inlineStr">
        <is>
          <t>http://www.italaw.com/cases/2444</t>
        </is>
      </c>
      <c r="V205" s="32" t="inlineStr">
        <is>
          <t>Sí</t>
        </is>
      </c>
    </row>
    <row r="206">
      <c r="A206" s="32" t="n">
        <v>205</v>
      </c>
      <c r="B206" s="32" t="inlineStr">
        <is>
          <t>Dede v. Romania</t>
        </is>
      </c>
      <c r="C206" s="32" t="inlineStr">
        <is>
          <t>Ömer Dede and Serdar Elhüseyni v. Romania (ICSID Case No. ARB/10/22)</t>
        </is>
      </c>
      <c r="D206" s="32" t="inlineStr">
        <is>
          <t>Romania</t>
        </is>
      </c>
      <c r="E206" s="32" t="inlineStr">
        <is>
          <t>Europa Occidental</t>
        </is>
      </c>
      <c r="F206" s="32" t="inlineStr">
        <is>
          <t>Türkiye</t>
        </is>
      </c>
      <c r="G206" s="32" t="n">
        <v>2010</v>
      </c>
      <c r="H206" s="32" t="inlineStr">
        <is>
          <t>No - ganó el Estado</t>
        </is>
      </c>
      <c r="I206" s="32" t="inlineStr">
        <is>
          <t>No</t>
        </is>
      </c>
      <c r="J206" s="32" t="inlineStr">
        <is>
          <t>Expropiación</t>
        </is>
      </c>
      <c r="K206" s="32" t="inlineStr">
        <is>
          <t>2.00 EUR (2.60 USD)</t>
        </is>
      </c>
      <c r="L206" s="32" t="inlineStr"/>
      <c r="M206" s="32" t="inlineStr">
        <is>
          <t>Secondary - C - Manufacturing</t>
        </is>
      </c>
      <c r="N206" s="32" t="inlineStr"/>
      <c r="O206" s="32" t="inlineStr">
        <is>
          <t>Romania - Turkey BIT (1991)</t>
        </is>
      </c>
      <c r="P206" s="32" t="inlineStr"/>
      <c r="Q206" s="32" t="inlineStr">
        <is>
          <t>Park, W. W. - President; Herzog, N. - Claimant; Stern, B. - Respondent</t>
        </is>
      </c>
      <c r="R206" s="32" t="inlineStr"/>
      <c r="S206" s="32" t="inlineStr"/>
      <c r="T206" s="32" t="inlineStr">
        <is>
          <t>Inglés</t>
        </is>
      </c>
      <c r="U206" s="32" t="inlineStr">
        <is>
          <t>http://www.italaw.com/cases/2219</t>
        </is>
      </c>
      <c r="V206" s="32" t="inlineStr">
        <is>
          <t>Sí</t>
        </is>
      </c>
    </row>
    <row r="207">
      <c r="A207" s="33" t="n">
        <v>206</v>
      </c>
      <c r="B207" s="33" t="inlineStr">
        <is>
          <t>Flughafen Zürich v. Venezuela</t>
        </is>
      </c>
      <c r="C207" s="33" t="inlineStr">
        <is>
          <t>Flughafen Zürich A.G. and Gestión e Ingenería IDC S.A. v. Bolivarian Republic of Venezuela (ICSID Case No. ARB/10/19)</t>
        </is>
      </c>
      <c r="D207" s="33" t="inlineStr">
        <is>
          <t>Venezuela, Bolivarian Republic of</t>
        </is>
      </c>
      <c r="E207" s="33" t="inlineStr">
        <is>
          <t>América del Sur</t>
        </is>
      </c>
      <c r="F207" s="33" t="inlineStr">
        <is>
          <t>Switzerland;
Chile</t>
        </is>
      </c>
      <c r="G207" s="33" t="n">
        <v>2010</v>
      </c>
      <c r="H207" s="33" t="inlineStr">
        <is>
          <t>Sí con daños</t>
        </is>
      </c>
      <c r="I207" s="33" t="inlineStr">
        <is>
          <t>Sí</t>
        </is>
      </c>
      <c r="J207" s="33" t="inlineStr">
        <is>
          <t>TJE - Trato Justo y Equitativo | Expropiación</t>
        </is>
      </c>
      <c r="K207" s="33" t="inlineStr">
        <is>
          <t>79.00 CHF (82.20 USD)</t>
        </is>
      </c>
      <c r="L207" s="33" t="inlineStr">
        <is>
          <t>19.40 USD</t>
        </is>
      </c>
      <c r="M207" s="33" t="inlineStr">
        <is>
          <t>Tertiary - H - Transportation and storage;
Tertiary - H - Transportation and storage</t>
        </is>
      </c>
      <c r="N207" s="33" t="inlineStr">
        <is>
          <t>Cambio regulatorio | Medida fiscal/impositiva | Nacionalización</t>
        </is>
      </c>
      <c r="O207" s="33" t="inlineStr">
        <is>
          <t>Switzerland - Venezuela, Bolivarian Republic of BIT (1993);
Chile - Venezuela, Bolivarian Republic of BIT (1993)</t>
        </is>
      </c>
      <c r="P207" s="33" t="inlineStr"/>
      <c r="Q207" s="33" t="inlineStr">
        <is>
          <t>Fernández-Armesto, J. - President; Álvarez, H. C. - Claimant; Vinuesa, R. E. - Respondent</t>
        </is>
      </c>
      <c r="R207" s="33" t="inlineStr">
        <is>
          <t>ICSID annulment proceedings</t>
        </is>
      </c>
      <c r="S207" s="33" t="inlineStr">
        <is>
          <t>Award/decision upheld ICSID annulment proceedings</t>
        </is>
      </c>
      <c r="T207" s="33" t="inlineStr">
        <is>
          <t>Indeterminado</t>
        </is>
      </c>
      <c r="U207" s="33" t="inlineStr">
        <is>
          <t>http://www.italaw.com/cases/1524</t>
        </is>
      </c>
      <c r="V207" s="33" t="inlineStr">
        <is>
          <t>Sí</t>
        </is>
      </c>
    </row>
    <row r="208">
      <c r="A208" s="32" t="n">
        <v>207</v>
      </c>
      <c r="B208" s="32" t="inlineStr">
        <is>
          <t>İçkale v. Turkmenistan</t>
        </is>
      </c>
      <c r="C208" s="32" t="inlineStr">
        <is>
          <t>İçkale İnşaat Limited Şirketi v. Turkmenistan (ICSID Case No. ARB/10/24)</t>
        </is>
      </c>
      <c r="D208" s="32" t="inlineStr">
        <is>
          <t>Turkmenistan</t>
        </is>
      </c>
      <c r="E208" s="32" t="inlineStr">
        <is>
          <t>Este Europa/Asia Central</t>
        </is>
      </c>
      <c r="F208" s="32" t="inlineStr">
        <is>
          <t>Türkiye</t>
        </is>
      </c>
      <c r="G208" s="32" t="n">
        <v>2010</v>
      </c>
      <c r="H208" s="32" t="inlineStr">
        <is>
          <t>No - ganó el Estado</t>
        </is>
      </c>
      <c r="I208" s="32" t="inlineStr">
        <is>
          <t>No</t>
        </is>
      </c>
      <c r="J208" s="32" t="inlineStr">
        <is>
          <t>TJE - Trato Justo y Equitativo | Expropiación | Protección y Seguridad Plenas | Cláusula Paraguas | NMF - Nación Más Favorecida</t>
        </is>
      </c>
      <c r="K208" s="32" t="inlineStr">
        <is>
          <t>566.70 USD</t>
        </is>
      </c>
      <c r="L208" s="32" t="inlineStr"/>
      <c r="M208" s="32" t="inlineStr">
        <is>
          <t>Tertiary - F - Construction</t>
        </is>
      </c>
      <c r="N208" s="32" t="inlineStr"/>
      <c r="O208" s="32" t="inlineStr">
        <is>
          <t>Turkey - Turkmenistan BIT (1992)</t>
        </is>
      </c>
      <c r="P208" s="32" t="inlineStr"/>
      <c r="Q208" s="32" t="inlineStr">
        <is>
          <t>Heiskanen, V. - President; Lamm, C. B. - Claimant; Sands, P. - Respondent; Nariman, F. S. - Respondent (replaced)</t>
        </is>
      </c>
      <c r="R208" s="32" t="inlineStr"/>
      <c r="S208" s="32" t="inlineStr"/>
      <c r="T208" s="32" t="inlineStr">
        <is>
          <t>Inglés</t>
        </is>
      </c>
      <c r="U208" s="32" t="inlineStr">
        <is>
          <t>http://italaw.com/cases/2560</t>
        </is>
      </c>
      <c r="V208" s="32" t="inlineStr">
        <is>
          <t>Sí</t>
        </is>
      </c>
    </row>
    <row r="209">
      <c r="A209" s="32" t="n">
        <v>208</v>
      </c>
      <c r="B209" s="32" t="inlineStr">
        <is>
          <t>Kılıç v. Turkmenistan</t>
        </is>
      </c>
      <c r="C209" s="32" t="inlineStr">
        <is>
          <t>Kılıç İnşaat İthalat İhracat Sanayi ve Ticaret Anonim Şirketi v. Turkmenistan (ICSID Case No. ARB/10/1)</t>
        </is>
      </c>
      <c r="D209" s="32" t="inlineStr">
        <is>
          <t>Turkmenistan</t>
        </is>
      </c>
      <c r="E209" s="32" t="inlineStr">
        <is>
          <t>Este Europa/Asia Central</t>
        </is>
      </c>
      <c r="F209" s="32" t="inlineStr">
        <is>
          <t>Türkiye</t>
        </is>
      </c>
      <c r="G209" s="32" t="n">
        <v>2010</v>
      </c>
      <c r="H209" s="32" t="inlineStr">
        <is>
          <t>No - ganó el Estado</t>
        </is>
      </c>
      <c r="I209" s="32" t="inlineStr">
        <is>
          <t>No</t>
        </is>
      </c>
      <c r="J209" s="32" t="inlineStr">
        <is>
          <t>Expropiación</t>
        </is>
      </c>
      <c r="K209" s="32" t="inlineStr">
        <is>
          <t>300.00 USD</t>
        </is>
      </c>
      <c r="L209" s="32" t="inlineStr"/>
      <c r="M209" s="32" t="inlineStr">
        <is>
          <t>Tertiary - F - Construction</t>
        </is>
      </c>
      <c r="N209" s="32" t="inlineStr"/>
      <c r="O209" s="32" t="inlineStr">
        <is>
          <t>Turkey - Turkmenistan BIT (1992)</t>
        </is>
      </c>
      <c r="P209" s="32" t="inlineStr"/>
      <c r="Q209" s="32" t="inlineStr">
        <is>
          <t>Rowley, J. W. - President; Gaillard, E. - President (replaced); Park, W. W. - Claimant; Sands, P. - Respondent</t>
        </is>
      </c>
      <c r="R209" s="32" t="inlineStr">
        <is>
          <t>ICSID annulment proceedings</t>
        </is>
      </c>
      <c r="S209" s="32" t="inlineStr">
        <is>
          <t>Award/decision upheld ICSID annulment proceedings</t>
        </is>
      </c>
      <c r="T209" s="32" t="inlineStr">
        <is>
          <t>Indeterminado</t>
        </is>
      </c>
      <c r="U209" s="32" t="inlineStr">
        <is>
          <t>http://www.italaw.com/cases/1220</t>
        </is>
      </c>
      <c r="V209" s="32" t="inlineStr">
        <is>
          <t>Sí</t>
        </is>
      </c>
    </row>
    <row r="210">
      <c r="A210" s="32" t="n">
        <v>209</v>
      </c>
      <c r="B210" s="32" t="inlineStr">
        <is>
          <t>Metal-Tech v. Uzbekistan</t>
        </is>
      </c>
      <c r="C210" s="32" t="inlineStr">
        <is>
          <t>Metal-Tech Ltd. v. Republic of Uzbekistan (ICSID Case No. ARB/10/3)</t>
        </is>
      </c>
      <c r="D210" s="32" t="inlineStr">
        <is>
          <t>Uzbekistan</t>
        </is>
      </c>
      <c r="E210" s="32" t="inlineStr">
        <is>
          <t>Este Europa/Asia Central</t>
        </is>
      </c>
      <c r="F210" s="32" t="inlineStr">
        <is>
          <t>Israel</t>
        </is>
      </c>
      <c r="G210" s="32" t="n">
        <v>2010</v>
      </c>
      <c r="H210" s="32" t="inlineStr">
        <is>
          <t>No - ganó el Estado</t>
        </is>
      </c>
      <c r="I210" s="32" t="inlineStr">
        <is>
          <t>No</t>
        </is>
      </c>
      <c r="J210" s="32" t="inlineStr">
        <is>
          <t>TJE - Trato Justo y Equitativo | Expropiación</t>
        </is>
      </c>
      <c r="K210" s="32" t="inlineStr">
        <is>
          <t>173.90 USD</t>
        </is>
      </c>
      <c r="L210" s="32" t="inlineStr"/>
      <c r="M210" s="32" t="inlineStr">
        <is>
          <t>Secondary - C - Manufacturing</t>
        </is>
      </c>
      <c r="N210" s="32" t="inlineStr"/>
      <c r="O210" s="32" t="inlineStr">
        <is>
          <t>Israel - Uzbekistan BIT (1994)</t>
        </is>
      </c>
      <c r="P210" s="32" t="inlineStr"/>
      <c r="Q210" s="32" t="inlineStr">
        <is>
          <t>Kaufmann-Kohler, G. - President; Townsend, J. M. - Claimant; von Wobeser, C. - Respondent</t>
        </is>
      </c>
      <c r="R210" s="32" t="inlineStr"/>
      <c r="S210" s="32" t="inlineStr"/>
      <c r="T210" s="32" t="inlineStr">
        <is>
          <t>Indeterminado</t>
        </is>
      </c>
      <c r="U210" s="32" t="inlineStr">
        <is>
          <t>http://italaw.com/cases/2272</t>
        </is>
      </c>
      <c r="V210" s="32" t="inlineStr">
        <is>
          <t>Sí</t>
        </is>
      </c>
    </row>
    <row r="211">
      <c r="A211" s="32" t="n">
        <v>210</v>
      </c>
      <c r="B211" s="32" t="inlineStr">
        <is>
          <t>Minnotte and Lewis v. Poland</t>
        </is>
      </c>
      <c r="C211" s="32" t="inlineStr">
        <is>
          <t>David Minnotte and Robert Lewis v. Republic of Poland (ICSID Case No. ARB(AF)/10/1)</t>
        </is>
      </c>
      <c r="D211" s="32" t="inlineStr">
        <is>
          <t>Poland</t>
        </is>
      </c>
      <c r="E211" s="32" t="inlineStr">
        <is>
          <t>Europa Occidental</t>
        </is>
      </c>
      <c r="F211" s="32" t="inlineStr">
        <is>
          <t>United States of America</t>
        </is>
      </c>
      <c r="G211" s="32" t="n">
        <v>2010</v>
      </c>
      <c r="H211" s="32" t="inlineStr">
        <is>
          <t>No - ganó el Estado</t>
        </is>
      </c>
      <c r="I211" s="32" t="inlineStr">
        <is>
          <t>No</t>
        </is>
      </c>
      <c r="J211" s="32" t="inlineStr">
        <is>
          <t>TJE - Trato Justo y Equitativo | Expropiación | Cláusula Paraguas</t>
        </is>
      </c>
      <c r="K211" s="32" t="inlineStr">
        <is>
          <t>35.00 USD</t>
        </is>
      </c>
      <c r="L211" s="32" t="inlineStr"/>
      <c r="M211" s="32" t="inlineStr">
        <is>
          <t>Tertiary - Q - Human health and social work activities</t>
        </is>
      </c>
      <c r="N211" s="32" t="inlineStr"/>
      <c r="O211" s="32" t="inlineStr">
        <is>
          <t>Poland - United States of America BIT (1990)</t>
        </is>
      </c>
      <c r="P211" s="32" t="inlineStr">
        <is>
          <t>002 Share</t>
        </is>
      </c>
      <c r="Q211" s="32" t="inlineStr">
        <is>
          <t>Lowe, V. - President; Mendelson, M. - Claimant; Silva Romero, E. - Respondent</t>
        </is>
      </c>
      <c r="R211" s="32" t="inlineStr"/>
      <c r="S211" s="32" t="inlineStr"/>
      <c r="T211" s="32" t="inlineStr">
        <is>
          <t>Inglés</t>
        </is>
      </c>
      <c r="U211" s="32" t="inlineStr">
        <is>
          <t>http://www.italaw.com/cases/707</t>
        </is>
      </c>
      <c r="V211" s="32" t="inlineStr">
        <is>
          <t>Sí</t>
        </is>
      </c>
    </row>
    <row r="212">
      <c r="A212" s="32" t="n">
        <v>211</v>
      </c>
      <c r="B212" s="32" t="inlineStr">
        <is>
          <t>Philip Morris v. Uruguay</t>
        </is>
      </c>
      <c r="C212" s="32" t="inlineStr">
        <is>
          <t>Philip Morris Brand Sàrl (Switzerland), Philip Morris Products S.A. (Switzerland) and Abal Hermanos S.A. (Uruguay) v. Oriental Republic of Uruguay (ICSID Case No. ARB/10/7)</t>
        </is>
      </c>
      <c r="D212" s="32" t="inlineStr">
        <is>
          <t>Uruguay</t>
        </is>
      </c>
      <c r="E212" s="32" t="inlineStr">
        <is>
          <t>América del Sur</t>
        </is>
      </c>
      <c r="F212" s="32" t="inlineStr">
        <is>
          <t>Switzerland</t>
        </is>
      </c>
      <c r="G212" s="32" t="n">
        <v>2010</v>
      </c>
      <c r="H212" s="32" t="inlineStr">
        <is>
          <t>No - ganó el Estado</t>
        </is>
      </c>
      <c r="I212" s="32" t="inlineStr">
        <is>
          <t>No</t>
        </is>
      </c>
      <c r="J212" s="32" t="inlineStr">
        <is>
          <t>TJE - Trato Justo y Equitativo | Expropiación | Cláusula Paraguas</t>
        </is>
      </c>
      <c r="K212" s="32" t="inlineStr">
        <is>
          <t>22.30 USD</t>
        </is>
      </c>
      <c r="L212" s="32" t="inlineStr"/>
      <c r="M212" s="32" t="inlineStr">
        <is>
          <t>Secondary - C - Manufacturing</t>
        </is>
      </c>
      <c r="N212" s="32" t="inlineStr"/>
      <c r="O212" s="32" t="inlineStr">
        <is>
          <t>Switzerland - Uruguay BIT (1988)</t>
        </is>
      </c>
      <c r="P212" s="32" t="inlineStr"/>
      <c r="Q212" s="32" t="inlineStr">
        <is>
          <t>Bernardini, P. - President; Born, G. B. - Claimant; Crawford, J. R. - Respondent</t>
        </is>
      </c>
      <c r="R212" s="32" t="inlineStr"/>
      <c r="S212" s="32" t="inlineStr"/>
      <c r="T212" s="32" t="inlineStr">
        <is>
          <t>Inglés</t>
        </is>
      </c>
      <c r="U212" s="32" t="inlineStr">
        <is>
          <t>http://www.italaw.com/cases/460</t>
        </is>
      </c>
      <c r="V212" s="32" t="inlineStr">
        <is>
          <t>Sí</t>
        </is>
      </c>
    </row>
    <row r="213">
      <c r="A213" s="32" t="n">
        <v>212</v>
      </c>
      <c r="B213" s="32" t="inlineStr">
        <is>
          <t>RSM v. Grenada</t>
        </is>
      </c>
      <c r="C213" s="32" t="inlineStr">
        <is>
          <t>RSM Production Corporation and others v. Grenada (ICSID Case No. ARB/10/6)</t>
        </is>
      </c>
      <c r="D213" s="32" t="inlineStr">
        <is>
          <t>Grenada</t>
        </is>
      </c>
      <c r="E213" s="32" t="inlineStr">
        <is>
          <t>Sin clasificar</t>
        </is>
      </c>
      <c r="F213" s="32" t="inlineStr">
        <is>
          <t>United States of America</t>
        </is>
      </c>
      <c r="G213" s="32" t="n">
        <v>2010</v>
      </c>
      <c r="H213" s="32" t="inlineStr">
        <is>
          <t>No - ganó el Estado</t>
        </is>
      </c>
      <c r="I213" s="32" t="inlineStr">
        <is>
          <t>No</t>
        </is>
      </c>
      <c r="J213" s="32" t="inlineStr">
        <is>
          <t>TJE - Trato Justo y Equitativo | Expropiación | Protección y Seguridad Plenas | NMF - Nación Más Favorecida</t>
        </is>
      </c>
      <c r="K213" s="32" t="inlineStr">
        <is>
          <t>500.00 USD</t>
        </is>
      </c>
      <c r="L213" s="32" t="inlineStr"/>
      <c r="M213" s="32" t="inlineStr">
        <is>
          <t>Primary - B - Mining and quarrying</t>
        </is>
      </c>
      <c r="N213" s="32" t="inlineStr">
        <is>
          <t>Nacionalización</t>
        </is>
      </c>
      <c r="O213" s="32" t="inlineStr">
        <is>
          <t>Grenada - United States of America BIT (1986)</t>
        </is>
      </c>
      <c r="P213" s="32" t="inlineStr"/>
      <c r="Q213" s="32" t="inlineStr">
        <is>
          <t>Rowley, J. W. - President; Nottingham, E. - Claimant; Tercier, P. - Respondent</t>
        </is>
      </c>
      <c r="R213" s="32" t="inlineStr"/>
      <c r="S213" s="32" t="inlineStr"/>
      <c r="T213" s="32" t="inlineStr">
        <is>
          <t>Inglés</t>
        </is>
      </c>
      <c r="U213" s="32" t="inlineStr">
        <is>
          <t>http://www.italaw.com/cases/937</t>
        </is>
      </c>
      <c r="V213" s="32" t="inlineStr">
        <is>
          <t>Sí</t>
        </is>
      </c>
    </row>
    <row r="214">
      <c r="A214" s="32" t="n">
        <v>213</v>
      </c>
      <c r="B214" s="32" t="inlineStr">
        <is>
          <t>SCB v. Tanzania</t>
        </is>
      </c>
      <c r="C214" s="32" t="inlineStr">
        <is>
          <t>Standard Chartered Bank v. United Republic of Tanzania (ICSID Case No. ARB/10/12)</t>
        </is>
      </c>
      <c r="D214" s="32" t="inlineStr">
        <is>
          <t>Tanzania, United Republic of</t>
        </is>
      </c>
      <c r="E214" s="32" t="inlineStr">
        <is>
          <t>Sin clasificar</t>
        </is>
      </c>
      <c r="F214" s="32" t="inlineStr">
        <is>
          <t>United Kingdom</t>
        </is>
      </c>
      <c r="G214" s="32" t="n">
        <v>2010</v>
      </c>
      <c r="H214" s="32" t="inlineStr">
        <is>
          <t>No - ganó el Estado</t>
        </is>
      </c>
      <c r="I214" s="32" t="inlineStr">
        <is>
          <t>No</t>
        </is>
      </c>
      <c r="J214" s="32" t="inlineStr">
        <is>
          <t>TJE - Trato Justo y Equitativo | Expropiación</t>
        </is>
      </c>
      <c r="K214" s="32" t="inlineStr">
        <is>
          <t>118.60 USD</t>
        </is>
      </c>
      <c r="L214" s="32" t="inlineStr"/>
      <c r="M214" s="32" t="inlineStr">
        <is>
          <t>Tertiary - D - Electricity, gas, steam and air conditioning supply</t>
        </is>
      </c>
      <c r="N214" s="32" t="inlineStr"/>
      <c r="O214" s="32" t="inlineStr">
        <is>
          <t>United Republic of Tanzania - United Kingdom BIT (1994)</t>
        </is>
      </c>
      <c r="P214" s="32" t="inlineStr"/>
      <c r="Q214" s="32" t="inlineStr">
        <is>
          <t>Park, W. W. - President; Pryles, M. C. - Claimant; Legum, B. - Respondent</t>
        </is>
      </c>
      <c r="R214" s="32" t="inlineStr">
        <is>
          <t>ICSID annulment proceedings</t>
        </is>
      </c>
      <c r="S214" s="32" t="inlineStr">
        <is>
          <t>Pending ICSID annulment proceedings</t>
        </is>
      </c>
      <c r="T214" s="32" t="inlineStr">
        <is>
          <t>Inglés</t>
        </is>
      </c>
      <c r="U214" s="32" t="inlineStr">
        <is>
          <t>http://www.italaw.com/cases/1046</t>
        </is>
      </c>
      <c r="V214" s="32" t="inlineStr">
        <is>
          <t>Sí</t>
        </is>
      </c>
    </row>
    <row r="215">
      <c r="A215" s="33" t="n">
        <v>214</v>
      </c>
      <c r="B215" s="33" t="inlineStr">
        <is>
          <t>TECO v. Guatemala</t>
        </is>
      </c>
      <c r="C215" s="33" t="inlineStr">
        <is>
          <t>TECO Guatemala Holdings, LLC v. Republic of Guatemala (ICSID Case No. ARB/10/23)</t>
        </is>
      </c>
      <c r="D215" s="33" t="inlineStr">
        <is>
          <t>Guatemala</t>
        </is>
      </c>
      <c r="E215" s="33" t="inlineStr">
        <is>
          <t>América Central/Caribe</t>
        </is>
      </c>
      <c r="F215" s="33" t="inlineStr">
        <is>
          <t>United States of America</t>
        </is>
      </c>
      <c r="G215" s="33" t="n">
        <v>2010</v>
      </c>
      <c r="H215" s="33" t="inlineStr">
        <is>
          <t>Sí con daños</t>
        </is>
      </c>
      <c r="I215" s="33" t="inlineStr">
        <is>
          <t>Sí</t>
        </is>
      </c>
      <c r="J215" s="33" t="inlineStr">
        <is>
          <t>TJE - Trato Justo y Equitativo | Expropiación</t>
        </is>
      </c>
      <c r="K215" s="33" t="inlineStr">
        <is>
          <t>243.60 USD</t>
        </is>
      </c>
      <c r="L215" s="33" t="inlineStr">
        <is>
          <t>21.10 USD</t>
        </is>
      </c>
      <c r="M215" s="33" t="inlineStr">
        <is>
          <t>Tertiary - D - Electricity, gas, steam and air conditioning supply</t>
        </is>
      </c>
      <c r="N215" s="33" t="inlineStr">
        <is>
          <t>Cambio regulatorio | Reducción/renegociación de tarifas</t>
        </is>
      </c>
      <c r="O215" s="33" t="inlineStr">
        <is>
          <t>CAFTA - DR (2004)</t>
        </is>
      </c>
      <c r="P215" s="33" t="inlineStr"/>
      <c r="Q215" s="33" t="inlineStr">
        <is>
          <t>Mourre, A. - President; Park, W. W. - Claimant; von Wobeser, C. - Respondent; Oreamuno Blanco, R. - Respondent (replaced)</t>
        </is>
      </c>
      <c r="R215" s="33" t="inlineStr">
        <is>
          <t>ICSID annulment proceedings;
ICSID resubmission proceedings;
ICSID annulment proceedings</t>
        </is>
      </c>
      <c r="S215" s="33" t="inlineStr">
        <is>
          <t>Award/decision partially annulled ICSID annulment proceedings;
Decided in favour of the investor ICSID resubmission proceedings;
Discontinued ICSID annulment proceedings</t>
        </is>
      </c>
      <c r="T215" s="33" t="inlineStr">
        <is>
          <t>Indeterminado</t>
        </is>
      </c>
      <c r="U215" s="33" t="inlineStr">
        <is>
          <t>http://www.italaw.com/cases/1629</t>
        </is>
      </c>
      <c r="V215" s="33" t="inlineStr">
        <is>
          <t>Sí</t>
        </is>
      </c>
    </row>
    <row r="216">
      <c r="A216" s="33" t="n">
        <v>215</v>
      </c>
      <c r="B216" s="33" t="inlineStr">
        <is>
          <t>Tidewater v. Venezuela</t>
        </is>
      </c>
      <c r="C216" s="33" t="inlineStr">
        <is>
          <t>Tidewater Investment SRL and Tidewater Caribe, C.A. v. Bolivarian Republic of Venezuela (ICSID Case No. ARB/10/5)</t>
        </is>
      </c>
      <c r="D216" s="33" t="inlineStr">
        <is>
          <t>Venezuela, Bolivarian Republic of</t>
        </is>
      </c>
      <c r="E216" s="33" t="inlineStr">
        <is>
          <t>América del Sur</t>
        </is>
      </c>
      <c r="F216" s="33" t="inlineStr">
        <is>
          <t>Barbados</t>
        </is>
      </c>
      <c r="G216" s="33" t="n">
        <v>2010</v>
      </c>
      <c r="H216" s="33" t="inlineStr">
        <is>
          <t>Sí con daños</t>
        </is>
      </c>
      <c r="I216" s="33" t="inlineStr">
        <is>
          <t>Sí</t>
        </is>
      </c>
      <c r="J216" s="33" t="inlineStr">
        <is>
          <t>TJE - Trato Justo y Equitativo | Expropiación | NMF - Nación Más Favorecida | Trato Nacional</t>
        </is>
      </c>
      <c r="K216" s="33" t="inlineStr">
        <is>
          <t>234.00 USD</t>
        </is>
      </c>
      <c r="L216" s="33" t="inlineStr">
        <is>
          <t>46.40 USD</t>
        </is>
      </c>
      <c r="M216" s="33" t="inlineStr">
        <is>
          <t>Primary - B - Mining and quarrying</t>
        </is>
      </c>
      <c r="N216" s="33" t="inlineStr">
        <is>
          <t>Nacionalización</t>
        </is>
      </c>
      <c r="O216" s="33" t="inlineStr">
        <is>
          <t>Barbados - Venezuela, Bolivarian Republic of BIT (1994)</t>
        </is>
      </c>
      <c r="P216" s="33" t="inlineStr">
        <is>
          <t>100% (wholly owned)</t>
        </is>
      </c>
      <c r="Q216" s="33" t="inlineStr">
        <is>
          <t>McLachlan, C. A. - President; Rigo Sureda, A. - Claimant; Stern, B. - Respondent</t>
        </is>
      </c>
      <c r="R216" s="33" t="inlineStr">
        <is>
          <t>ICSID annulment proceedings</t>
        </is>
      </c>
      <c r="S216" s="33" t="inlineStr">
        <is>
          <t>Award/decision partially annulled ICSID annulment proceedings</t>
        </is>
      </c>
      <c r="T216" s="33" t="inlineStr">
        <is>
          <t>Inglés</t>
        </is>
      </c>
      <c r="U216" s="33" t="inlineStr">
        <is>
          <t>http://www.italaw.com/cases/1096</t>
        </is>
      </c>
      <c r="V216" s="33" t="inlineStr">
        <is>
          <t>Sí</t>
        </is>
      </c>
    </row>
    <row r="217">
      <c r="A217" s="33" t="n">
        <v>216</v>
      </c>
      <c r="B217" s="33" t="inlineStr">
        <is>
          <t>von Pezold and others v. Zimbabwe</t>
        </is>
      </c>
      <c r="C217" s="33" t="inlineStr">
        <is>
          <t>Bernhard von Pezold and others v. Republic of Zimbabwe (ICSID Case No. ARB/10/15)</t>
        </is>
      </c>
      <c r="D217" s="33" t="inlineStr">
        <is>
          <t>Zimbabwe</t>
        </is>
      </c>
      <c r="E217" s="33" t="inlineStr">
        <is>
          <t>África Subsahariana</t>
        </is>
      </c>
      <c r="F217" s="33" t="inlineStr">
        <is>
          <t>Germany;
Switzerland</t>
        </is>
      </c>
      <c r="G217" s="33" t="n">
        <v>2010</v>
      </c>
      <c r="H217" s="33" t="inlineStr">
        <is>
          <t>Sí con daños</t>
        </is>
      </c>
      <c r="I217" s="33" t="inlineStr">
        <is>
          <t>Sí</t>
        </is>
      </c>
      <c r="J217" s="33" t="inlineStr">
        <is>
          <t>TJE - Trato Justo y Equitativo | Expropiación | Protección y Seguridad Plenas | Libre Transferencia | NMF - Nación Más Favorecida</t>
        </is>
      </c>
      <c r="K217" s="33" t="inlineStr"/>
      <c r="L217" s="33" t="inlineStr">
        <is>
          <t>64.90 USD</t>
        </is>
      </c>
      <c r="M217" s="33" t="inlineStr">
        <is>
          <t>Primary - A - Agriculture, forestry and fishing</t>
        </is>
      </c>
      <c r="N217" s="33" t="inlineStr"/>
      <c r="O217" s="33" t="inlineStr">
        <is>
          <t>Germany - Zimbabwe BIT (1995);
Switzerland - Zimbabwe BIT (1996)</t>
        </is>
      </c>
      <c r="P217" s="33" t="inlineStr"/>
      <c r="Q217" s="33" t="inlineStr">
        <is>
          <t>Fortier, L. Y. - President; Williams, D. A. R. - Claimant; Hwang, M. - Respondent; Chen, A. - Respondent (replaced); Mutharika, A. P. - Respondent (replaced)</t>
        </is>
      </c>
      <c r="R217" s="33" t="inlineStr">
        <is>
          <t>ICSID annulment proceedings</t>
        </is>
      </c>
      <c r="S217" s="33" t="inlineStr">
        <is>
          <t>Award/decision upheld ICSID annulment proceedings</t>
        </is>
      </c>
      <c r="T217" s="33" t="inlineStr">
        <is>
          <t>Indeterminado</t>
        </is>
      </c>
      <c r="U217" s="33" t="inlineStr">
        <is>
          <t>http://www.italaw.com/cases/1472</t>
        </is>
      </c>
      <c r="V217" s="33" t="inlineStr">
        <is>
          <t>Sí</t>
        </is>
      </c>
    </row>
    <row r="218">
      <c r="A218" s="33" t="n">
        <v>217</v>
      </c>
      <c r="B218" s="33" t="inlineStr">
        <is>
          <t>Abengoa v. Mexico</t>
        </is>
      </c>
      <c r="C218" s="33" t="inlineStr">
        <is>
          <t>Abengoa, S.A. y COFIDES, S.A. v. United Mexican States (ICSID Case No. ARB(AF)/09/2)</t>
        </is>
      </c>
      <c r="D218" s="33" t="inlineStr">
        <is>
          <t>Mexico</t>
        </is>
      </c>
      <c r="E218" s="33" t="inlineStr">
        <is>
          <t>América del Norte</t>
        </is>
      </c>
      <c r="F218" s="33" t="inlineStr">
        <is>
          <t>Spain</t>
        </is>
      </c>
      <c r="G218" s="33" t="n">
        <v>2009</v>
      </c>
      <c r="H218" s="33" t="inlineStr">
        <is>
          <t>Sí con daños</t>
        </is>
      </c>
      <c r="I218" s="33" t="inlineStr">
        <is>
          <t>Sí</t>
        </is>
      </c>
      <c r="J218" s="33" t="inlineStr">
        <is>
          <t>Expropiación</t>
        </is>
      </c>
      <c r="K218" s="33" t="inlineStr">
        <is>
          <t>846.40 MXN (70.00 USD)</t>
        </is>
      </c>
      <c r="L218" s="33" t="inlineStr">
        <is>
          <t>491.80 MXN (40.30 USD)</t>
        </is>
      </c>
      <c r="M218" s="33" t="inlineStr">
        <is>
          <t>Tertiary - E - Water supply; sewerage, waste management and remediation activities</t>
        </is>
      </c>
      <c r="N218" s="33" t="inlineStr"/>
      <c r="O218" s="33" t="inlineStr">
        <is>
          <t>Mexico - Spain BIT (2006)</t>
        </is>
      </c>
      <c r="P218" s="33" t="inlineStr"/>
      <c r="Q218" s="33" t="inlineStr">
        <is>
          <t>Mourre, A. - President; Fernández-Armesto, J. - Claimant; Siqueiros, E. - Respondent</t>
        </is>
      </c>
      <c r="R218" s="33" t="inlineStr"/>
      <c r="S218" s="33" t="inlineStr"/>
      <c r="T218" s="33" t="inlineStr">
        <is>
          <t>Español</t>
        </is>
      </c>
      <c r="U218" s="33" t="inlineStr">
        <is>
          <t>http://www.italaw.com/cases/1871</t>
        </is>
      </c>
      <c r="V218" s="33" t="inlineStr">
        <is>
          <t>Sí</t>
        </is>
      </c>
    </row>
    <row r="219">
      <c r="A219" s="31" t="n">
        <v>218</v>
      </c>
      <c r="B219" s="31" t="inlineStr">
        <is>
          <t>ARVI and SANITEX v. Serbia</t>
        </is>
      </c>
      <c r="C219" s="31" t="inlineStr">
        <is>
          <t>UAB "ARVI" ir ko and UAB "SANITEX" v. Republic of Serbia (ICSID Case No. ARB/09/21)</t>
        </is>
      </c>
      <c r="D219" s="31" t="inlineStr">
        <is>
          <t>Serbia</t>
        </is>
      </c>
      <c r="E219" s="31" t="inlineStr">
        <is>
          <t>Europa Occidental</t>
        </is>
      </c>
      <c r="F219" s="31" t="inlineStr">
        <is>
          <t>Lithuania</t>
        </is>
      </c>
      <c r="G219" s="31" t="n">
        <v>2009</v>
      </c>
      <c r="H219" s="31" t="inlineStr">
        <is>
          <t>Sí con daños</t>
        </is>
      </c>
      <c r="I219" s="31" t="inlineStr">
        <is>
          <t>Sí</t>
        </is>
      </c>
      <c r="J219" s="31" t="inlineStr"/>
      <c r="K219" s="31" t="inlineStr"/>
      <c r="L219" s="31" t="inlineStr">
        <is>
          <t>1.00 EUR (1.10 USD)</t>
        </is>
      </c>
      <c r="M219" s="31" t="inlineStr">
        <is>
          <t>Secondary - C - Manufacturing</t>
        </is>
      </c>
      <c r="N219" s="31" t="inlineStr"/>
      <c r="O219" s="31" t="inlineStr">
        <is>
          <t>Lithuania - Serbia BIT (2005);
Lithuania - Montenegro BIT (2005)</t>
        </is>
      </c>
      <c r="P219" s="31" t="inlineStr"/>
      <c r="Q219" s="31" t="inlineStr">
        <is>
          <t>Buergenthal, T. - President; Brower, C. N. - Claimant; Varady, T. - Respondent</t>
        </is>
      </c>
      <c r="R219" s="31" t="inlineStr"/>
      <c r="S219" s="31" t="inlineStr"/>
      <c r="T219" s="31" t="inlineStr"/>
      <c r="U219" s="31" t="inlineStr">
        <is>
          <t>Not available</t>
        </is>
      </c>
      <c r="V219" s="31" t="inlineStr">
        <is>
          <t>Pendiente</t>
        </is>
      </c>
    </row>
    <row r="220">
      <c r="A220" s="32" t="n">
        <v>219</v>
      </c>
      <c r="B220" s="32" t="inlineStr">
        <is>
          <t>Commerce Group v. El Salvador</t>
        </is>
      </c>
      <c r="C220" s="32" t="inlineStr">
        <is>
          <t>Commerce Group Corp. and San Sebastian Gold Mines, Inc. v. Republic of El Salvador (ICSID Case No. ARB/09/17)</t>
        </is>
      </c>
      <c r="D220" s="32" t="inlineStr">
        <is>
          <t>El Salvador</t>
        </is>
      </c>
      <c r="E220" s="32" t="inlineStr">
        <is>
          <t>América Central/Caribe</t>
        </is>
      </c>
      <c r="F220" s="32" t="inlineStr">
        <is>
          <t>United States of America</t>
        </is>
      </c>
      <c r="G220" s="32" t="n">
        <v>2009</v>
      </c>
      <c r="H220" s="32" t="inlineStr">
        <is>
          <t>No - ganó el Estado</t>
        </is>
      </c>
      <c r="I220" s="32" t="inlineStr">
        <is>
          <t>No</t>
        </is>
      </c>
      <c r="J220" s="32" t="inlineStr">
        <is>
          <t>TJE - Trato Justo y Equitativo</t>
        </is>
      </c>
      <c r="K220" s="32" t="inlineStr">
        <is>
          <t>100.00 USD</t>
        </is>
      </c>
      <c r="L220" s="32" t="inlineStr"/>
      <c r="M220" s="32" t="inlineStr">
        <is>
          <t>Primary - B - Mining and quarrying</t>
        </is>
      </c>
      <c r="N220" s="32" t="inlineStr"/>
      <c r="O220" s="32" t="inlineStr">
        <is>
          <t>CAFTA - DR (2004)</t>
        </is>
      </c>
      <c r="P220" s="32" t="inlineStr"/>
      <c r="Q220" s="32" t="inlineStr">
        <is>
          <t>van den Berg, A. J. - President; Grigera Naón, H. A. - Claimant; Thomas, J. C. - Respondent</t>
        </is>
      </c>
      <c r="R220" s="32" t="inlineStr">
        <is>
          <t>ICSID annulment proceedings</t>
        </is>
      </c>
      <c r="S220" s="32" t="inlineStr">
        <is>
          <t>Discontinued ICSID annulment proceedings</t>
        </is>
      </c>
      <c r="T220" s="32" t="inlineStr">
        <is>
          <t>Inglés</t>
        </is>
      </c>
      <c r="U220" s="32" t="inlineStr">
        <is>
          <t>http://www.italaw.com/cases/296</t>
        </is>
      </c>
      <c r="V220" s="32" t="inlineStr">
        <is>
          <t>Sí</t>
        </is>
      </c>
    </row>
    <row r="221">
      <c r="A221" s="33" t="n">
        <v>220</v>
      </c>
      <c r="B221" s="33" t="inlineStr">
        <is>
          <t>Deutsche Bank v. Sri Lanka</t>
        </is>
      </c>
      <c r="C221" s="33" t="inlineStr">
        <is>
          <t>Deutsche Bank AG v. Democratic Socialist Republic of Sri Lanka (ICSID Case No. ARB/09/2)</t>
        </is>
      </c>
      <c r="D221" s="33" t="inlineStr">
        <is>
          <t>Sri Lanka</t>
        </is>
      </c>
      <c r="E221" s="33" t="inlineStr">
        <is>
          <t>Asia Sur-Este/Pacífico</t>
        </is>
      </c>
      <c r="F221" s="33" t="inlineStr">
        <is>
          <t>Germany</t>
        </is>
      </c>
      <c r="G221" s="33" t="n">
        <v>2009</v>
      </c>
      <c r="H221" s="33" t="inlineStr">
        <is>
          <t>Sí con daños</t>
        </is>
      </c>
      <c r="I221" s="33" t="inlineStr">
        <is>
          <t>Sí</t>
        </is>
      </c>
      <c r="J221" s="33" t="inlineStr">
        <is>
          <t>TJE - Trato Justo y Equitativo | Expropiación | Protección y Seguridad Plenas | Cláusula Paraguas</t>
        </is>
      </c>
      <c r="K221" s="33" t="inlineStr">
        <is>
          <t>60.00 USD</t>
        </is>
      </c>
      <c r="L221" s="33" t="inlineStr">
        <is>
          <t>60.00 USD</t>
        </is>
      </c>
      <c r="M221" s="33" t="inlineStr">
        <is>
          <t>Tertiary - K - Financial and insurance activities</t>
        </is>
      </c>
      <c r="N221" s="33" t="inlineStr"/>
      <c r="O221" s="33" t="inlineStr">
        <is>
          <t>Germany - Sri Lanka BIT (2000)</t>
        </is>
      </c>
      <c r="P221" s="33" t="inlineStr"/>
      <c r="Q221" s="33" t="inlineStr">
        <is>
          <t>Hanotiau, B. - President; Williams, D. A. R. - Claimant; Khan, M. A. - Respondent</t>
        </is>
      </c>
      <c r="R221" s="33" t="inlineStr">
        <is>
          <t>ICSID annulment proceedings</t>
        </is>
      </c>
      <c r="S221" s="33" t="inlineStr">
        <is>
          <t>Discontinued ICSID annulment proceedings</t>
        </is>
      </c>
      <c r="T221" s="33" t="inlineStr">
        <is>
          <t>Inglés</t>
        </is>
      </c>
      <c r="U221" s="33" t="inlineStr">
        <is>
          <t>http://www.italaw.com/cases/1745</t>
        </is>
      </c>
      <c r="V221" s="33" t="inlineStr">
        <is>
          <t>Sí</t>
        </is>
      </c>
    </row>
    <row r="222">
      <c r="A222" s="33" t="n">
        <v>221</v>
      </c>
      <c r="B222" s="33" t="inlineStr">
        <is>
          <t>Dogan v. Turkmenistan</t>
        </is>
      </c>
      <c r="C222" s="33" t="inlineStr">
        <is>
          <t>Adem Dogan v. Turkmenistan (ICSID Case No. ARB/09/9)</t>
        </is>
      </c>
      <c r="D222" s="33" t="inlineStr">
        <is>
          <t>Turkmenistan</t>
        </is>
      </c>
      <c r="E222" s="33" t="inlineStr">
        <is>
          <t>Este Europa/Asia Central</t>
        </is>
      </c>
      <c r="F222" s="33" t="inlineStr">
        <is>
          <t>Germany</t>
        </is>
      </c>
      <c r="G222" s="33" t="n">
        <v>2009</v>
      </c>
      <c r="H222" s="33" t="inlineStr">
        <is>
          <t>Sí con daños</t>
        </is>
      </c>
      <c r="I222" s="33" t="inlineStr">
        <is>
          <t>Sí</t>
        </is>
      </c>
      <c r="J222" s="33" t="inlineStr">
        <is>
          <t>TJE - Trato Justo y Equitativo | Expropiación</t>
        </is>
      </c>
      <c r="K222" s="33" t="inlineStr">
        <is>
          <t>45.00 USD</t>
        </is>
      </c>
      <c r="L222" s="33" t="inlineStr"/>
      <c r="M222" s="33" t="inlineStr">
        <is>
          <t>Primary - A - Agriculture, forestry and fishing</t>
        </is>
      </c>
      <c r="N222" s="33" t="inlineStr"/>
      <c r="O222" s="33" t="inlineStr">
        <is>
          <t>Germany - Turkmenistan BIT (1997)</t>
        </is>
      </c>
      <c r="P222" s="33" t="inlineStr"/>
      <c r="Q222" s="33" t="inlineStr">
        <is>
          <t>Paulsson, J. - President; Wirth, M. - Claimant; Sands, P. - Respondent</t>
        </is>
      </c>
      <c r="R222" s="33" t="inlineStr">
        <is>
          <t>ICSID annulment proceedings</t>
        </is>
      </c>
      <c r="S222" s="33" t="inlineStr">
        <is>
          <t>Award/decision upheld ICSID annulment proceedings</t>
        </is>
      </c>
      <c r="T222" s="33" t="inlineStr">
        <is>
          <t>Indeterminado</t>
        </is>
      </c>
      <c r="U222" s="33" t="inlineStr">
        <is>
          <t>http://www.italaw.com/cases/1454</t>
        </is>
      </c>
      <c r="V222" s="33" t="inlineStr">
        <is>
          <t>Sí</t>
        </is>
      </c>
    </row>
    <row r="223">
      <c r="A223" s="32" t="n">
        <v>222</v>
      </c>
      <c r="B223" s="32" t="inlineStr">
        <is>
          <t>Global Trading v. Ukraine</t>
        </is>
      </c>
      <c r="C223" s="32" t="inlineStr">
        <is>
          <t>Global Trading Resource Corp. and Globex International, Inc. v. Ukraine (ICSID Case No. ARB/09/11)</t>
        </is>
      </c>
      <c r="D223" s="32" t="inlineStr">
        <is>
          <t>Ukraine</t>
        </is>
      </c>
      <c r="E223" s="32" t="inlineStr">
        <is>
          <t>Este Europa/Asia Central</t>
        </is>
      </c>
      <c r="F223" s="32" t="inlineStr">
        <is>
          <t>United States of America</t>
        </is>
      </c>
      <c r="G223" s="32" t="n">
        <v>2009</v>
      </c>
      <c r="H223" s="32" t="inlineStr">
        <is>
          <t>No - ganó el Estado</t>
        </is>
      </c>
      <c r="I223" s="32" t="inlineStr">
        <is>
          <t>No</t>
        </is>
      </c>
      <c r="J223" s="32" t="inlineStr"/>
      <c r="K223" s="32" t="inlineStr">
        <is>
          <t>35.00 USD</t>
        </is>
      </c>
      <c r="L223" s="32" t="inlineStr"/>
      <c r="M223" s="32" t="inlineStr">
        <is>
          <t>Primary - A - Agriculture, forestry and fishing</t>
        </is>
      </c>
      <c r="N223" s="32" t="inlineStr"/>
      <c r="O223" s="32" t="inlineStr">
        <is>
          <t>Ukraine - United States of America BIT (1994)</t>
        </is>
      </c>
      <c r="P223" s="32" t="inlineStr"/>
      <c r="Q223" s="32" t="inlineStr">
        <is>
          <t>Berman, F. - President; Gaillard, E. - Claimant; Thomas, J. C. - Respondent</t>
        </is>
      </c>
      <c r="R223" s="32" t="inlineStr"/>
      <c r="S223" s="32" t="inlineStr"/>
      <c r="T223" s="32" t="inlineStr">
        <is>
          <t>Inglés</t>
        </is>
      </c>
      <c r="U223" s="32" t="inlineStr">
        <is>
          <t>http://www.italaw.com/cases/506</t>
        </is>
      </c>
      <c r="V223" s="32" t="inlineStr">
        <is>
          <t>Sí</t>
        </is>
      </c>
    </row>
    <row r="224">
      <c r="A224" s="33" t="n">
        <v>223</v>
      </c>
      <c r="B224" s="33" t="inlineStr">
        <is>
          <t>Gold Reserve v. Venezuela</t>
        </is>
      </c>
      <c r="C224" s="33" t="inlineStr">
        <is>
          <t>Gold Reserve Inc. v. Bolivarian Republic of Venezuela (ICSID Case No. ARB(AF)/09/1)</t>
        </is>
      </c>
      <c r="D224" s="33" t="inlineStr">
        <is>
          <t>Venezuela, Bolivarian Republic of</t>
        </is>
      </c>
      <c r="E224" s="33" t="inlineStr">
        <is>
          <t>América del Sur</t>
        </is>
      </c>
      <c r="F224" s="33" t="inlineStr">
        <is>
          <t>Canada</t>
        </is>
      </c>
      <c r="G224" s="33" t="n">
        <v>2009</v>
      </c>
      <c r="H224" s="33" t="inlineStr">
        <is>
          <t>Sí con daños</t>
        </is>
      </c>
      <c r="I224" s="33" t="inlineStr">
        <is>
          <t>Sí</t>
        </is>
      </c>
      <c r="J224" s="33" t="inlineStr">
        <is>
          <t>TJE - Trato Justo y Equitativo | Expropiación | Protección y Seguridad Plenas | NMF - Nación Más Favorecida</t>
        </is>
      </c>
      <c r="K224" s="33" t="inlineStr">
        <is>
          <t>1735.00 USD</t>
        </is>
      </c>
      <c r="L224" s="33" t="inlineStr">
        <is>
          <t>713.00 USD</t>
        </is>
      </c>
      <c r="M224" s="33" t="inlineStr">
        <is>
          <t>Primary - B - Mining and quarrying</t>
        </is>
      </c>
      <c r="N224" s="33" t="inlineStr"/>
      <c r="O224" s="33" t="inlineStr">
        <is>
          <t>Canada - Venezuela, Bolivarian Republic of BIT (1996)</t>
        </is>
      </c>
      <c r="P224" s="33" t="inlineStr"/>
      <c r="Q224" s="33" t="inlineStr">
        <is>
          <t>Bernardini, P. - President; Williams, D. A. R. - Claimant; Dupuy, P.-M. - Respondent</t>
        </is>
      </c>
      <c r="R224" s="33" t="inlineStr">
        <is>
          <t>Judicial review by national courts</t>
        </is>
      </c>
      <c r="S224" s="33" t="inlineStr">
        <is>
          <t>Award/decision upheld Judicial review by national courts</t>
        </is>
      </c>
      <c r="T224" s="33" t="inlineStr">
        <is>
          <t>Inglés</t>
        </is>
      </c>
      <c r="U224" s="33" t="inlineStr">
        <is>
          <t>http://www.italaw.com/cases/2727</t>
        </is>
      </c>
      <c r="V224" s="33" t="inlineStr">
        <is>
          <t>Sí</t>
        </is>
      </c>
    </row>
    <row r="225">
      <c r="A225" s="32" t="n">
        <v>224</v>
      </c>
      <c r="B225" s="32" t="inlineStr">
        <is>
          <t>H&amp;H v. Egypt</t>
        </is>
      </c>
      <c r="C225" s="32" t="inlineStr">
        <is>
          <t>H&amp;H Enterprises Investments, Inc. v. Arab Republic of Egypt (ICSID Case No. ARB/09/15)</t>
        </is>
      </c>
      <c r="D225" s="32" t="inlineStr">
        <is>
          <t>Egypt</t>
        </is>
      </c>
      <c r="E225" s="32" t="inlineStr">
        <is>
          <t>Medio Oriente/Norte África</t>
        </is>
      </c>
      <c r="F225" s="32" t="inlineStr">
        <is>
          <t>United States of America</t>
        </is>
      </c>
      <c r="G225" s="32" t="n">
        <v>2009</v>
      </c>
      <c r="H225" s="32" t="inlineStr">
        <is>
          <t>No - ganó el Estado</t>
        </is>
      </c>
      <c r="I225" s="32" t="inlineStr">
        <is>
          <t>No</t>
        </is>
      </c>
      <c r="J225" s="32" t="inlineStr">
        <is>
          <t>TJE - Trato Justo y Equitativo | Expropiación | Protección y Seguridad Plenas | Cláusula Paraguas | NMF - Nación Más Favorecida</t>
        </is>
      </c>
      <c r="K225" s="32" t="inlineStr">
        <is>
          <t>833.00 USD</t>
        </is>
      </c>
      <c r="L225" s="32" t="inlineStr"/>
      <c r="M225" s="32" t="inlineStr">
        <is>
          <t>Tertiary - I - Accommodation and food service activities</t>
        </is>
      </c>
      <c r="N225" s="32" t="inlineStr"/>
      <c r="O225" s="32" t="inlineStr">
        <is>
          <t>Egypt - United States of America BIT (1986)</t>
        </is>
      </c>
      <c r="P225" s="32" t="inlineStr"/>
      <c r="Q225" s="32" t="inlineStr">
        <is>
          <t>Cremades, B. M. - President; Heiskanen, V. - Claimant; Gharavi, H. G. - Respondent</t>
        </is>
      </c>
      <c r="R225" s="32" t="inlineStr">
        <is>
          <t>ICSID annulment proceedings</t>
        </is>
      </c>
      <c r="S225" s="32" t="inlineStr">
        <is>
          <t>Discontinued ICSID annulment proceedings</t>
        </is>
      </c>
      <c r="T225" s="32" t="inlineStr">
        <is>
          <t>Indeterminado</t>
        </is>
      </c>
      <c r="U225" s="32" t="inlineStr">
        <is>
          <t>http://www.italaw.com/cases/1460</t>
        </is>
      </c>
      <c r="V225" s="32" t="inlineStr">
        <is>
          <t>Sí</t>
        </is>
      </c>
    </row>
    <row r="226">
      <c r="A226" s="32" t="n">
        <v>225</v>
      </c>
      <c r="B226" s="32" t="inlineStr">
        <is>
          <t>Iberdrola Energía v. Guatemala (I)</t>
        </is>
      </c>
      <c r="C226" s="32" t="inlineStr">
        <is>
          <t>Iberdrola Energía, S.A. v. Republic of Guatemala (I) (ICSID Case No. ARB/09/5)</t>
        </is>
      </c>
      <c r="D226" s="32" t="inlineStr">
        <is>
          <t>Guatemala</t>
        </is>
      </c>
      <c r="E226" s="32" t="inlineStr">
        <is>
          <t>América Central/Caribe</t>
        </is>
      </c>
      <c r="F226" s="32" t="inlineStr">
        <is>
          <t>Spain</t>
        </is>
      </c>
      <c r="G226" s="32" t="n">
        <v>2009</v>
      </c>
      <c r="H226" s="32" t="inlineStr">
        <is>
          <t>No - ganó el Estado</t>
        </is>
      </c>
      <c r="I226" s="32" t="inlineStr">
        <is>
          <t>No</t>
        </is>
      </c>
      <c r="J226" s="32" t="inlineStr">
        <is>
          <t>TJE - Trato Justo y Equitativo | Expropiación</t>
        </is>
      </c>
      <c r="K226" s="32" t="inlineStr">
        <is>
          <t>188.00 USD</t>
        </is>
      </c>
      <c r="L226" s="32" t="inlineStr"/>
      <c r="M226" s="32" t="inlineStr">
        <is>
          <t>Tertiary - D - Electricity, gas, steam and air conditioning supply</t>
        </is>
      </c>
      <c r="N226" s="32" t="inlineStr"/>
      <c r="O226" s="32" t="inlineStr">
        <is>
          <t>Guatemala - Spain BIT (2002)</t>
        </is>
      </c>
      <c r="P226" s="32" t="inlineStr"/>
      <c r="Q226" s="32" t="inlineStr">
        <is>
          <t>Zuleta, E. - President; Derains, Y. - Claimant; Oreamuno Blanco, R. - Respondent</t>
        </is>
      </c>
      <c r="R226" s="32" t="inlineStr">
        <is>
          <t>ICSID annulment proceedings</t>
        </is>
      </c>
      <c r="S226" s="32" t="inlineStr">
        <is>
          <t>Award/decision upheld ICSID annulment proceedings</t>
        </is>
      </c>
      <c r="T226" s="32" t="inlineStr">
        <is>
          <t>Indeterminado</t>
        </is>
      </c>
      <c r="U226" s="32" t="inlineStr">
        <is>
          <t>http://www.italaw.com/cases/1518</t>
        </is>
      </c>
      <c r="V226" s="32" t="inlineStr">
        <is>
          <t>Sí</t>
        </is>
      </c>
    </row>
    <row r="227">
      <c r="A227" s="32" t="n">
        <v>226</v>
      </c>
      <c r="B227" s="32" t="inlineStr">
        <is>
          <t>KT Asia v. Kazakhstan</t>
        </is>
      </c>
      <c r="C227" s="32" t="inlineStr">
        <is>
          <t>KT Asia Investment Group B.V. v. Republic of Kazakhstan (ICSID Case No. ARB/09/8)</t>
        </is>
      </c>
      <c r="D227" s="32" t="inlineStr">
        <is>
          <t>Kazakhstan</t>
        </is>
      </c>
      <c r="E227" s="32" t="inlineStr">
        <is>
          <t>Este Europa/Asia Central</t>
        </is>
      </c>
      <c r="F227" s="32" t="inlineStr">
        <is>
          <t>Netherlands</t>
        </is>
      </c>
      <c r="G227" s="32" t="n">
        <v>2009</v>
      </c>
      <c r="H227" s="32" t="inlineStr">
        <is>
          <t>No - ganó el Estado</t>
        </is>
      </c>
      <c r="I227" s="32" t="inlineStr">
        <is>
          <t>No</t>
        </is>
      </c>
      <c r="J227" s="32" t="inlineStr">
        <is>
          <t>Expropiación</t>
        </is>
      </c>
      <c r="K227" s="32" t="inlineStr">
        <is>
          <t>1500.00 USD</t>
        </is>
      </c>
      <c r="L227" s="32" t="inlineStr"/>
      <c r="M227" s="32" t="inlineStr">
        <is>
          <t>Tertiary - K - Financial and insurance activities</t>
        </is>
      </c>
      <c r="N227" s="32" t="inlineStr">
        <is>
          <t>Nacionalización</t>
        </is>
      </c>
      <c r="O227" s="32" t="inlineStr">
        <is>
          <t>Kazakhstan - Netherlands BIT (2002)</t>
        </is>
      </c>
      <c r="P227" s="32" t="inlineStr"/>
      <c r="Q227" s="32" t="inlineStr">
        <is>
          <t>Kaufmann-Kohler, G. - President; Glick, I. - Claimant; Thomas, J. C. - Respondent</t>
        </is>
      </c>
      <c r="R227" s="32" t="inlineStr">
        <is>
          <t>ICSID annulment proceedings</t>
        </is>
      </c>
      <c r="S227" s="32" t="inlineStr">
        <is>
          <t>Discontinued ICSID annulment proceedings</t>
        </is>
      </c>
      <c r="T227" s="32" t="inlineStr">
        <is>
          <t>Inglés</t>
        </is>
      </c>
      <c r="U227" s="32" t="inlineStr">
        <is>
          <t>http://www.italaw.com/cases/2277</t>
        </is>
      </c>
      <c r="V227" s="32" t="inlineStr">
        <is>
          <t>Sí</t>
        </is>
      </c>
    </row>
    <row r="228">
      <c r="A228" s="32" t="n">
        <v>227</v>
      </c>
      <c r="B228" s="32" t="inlineStr">
        <is>
          <t>Pac Rim v. El Salvador</t>
        </is>
      </c>
      <c r="C228" s="32" t="inlineStr">
        <is>
          <t>Pac Rim Cayman LLC v. Republic of El Salvador (ICSID Case No. ARB/09/12)</t>
        </is>
      </c>
      <c r="D228" s="32" t="inlineStr">
        <is>
          <t>El Salvador</t>
        </is>
      </c>
      <c r="E228" s="32" t="inlineStr">
        <is>
          <t>América Central/Caribe</t>
        </is>
      </c>
      <c r="F228" s="32" t="inlineStr">
        <is>
          <t>United States of America</t>
        </is>
      </c>
      <c r="G228" s="32" t="n">
        <v>2009</v>
      </c>
      <c r="H228" s="32" t="inlineStr">
        <is>
          <t>No - ganó el Estado</t>
        </is>
      </c>
      <c r="I228" s="32" t="inlineStr">
        <is>
          <t>No</t>
        </is>
      </c>
      <c r="J228" s="32" t="inlineStr">
        <is>
          <t>Expropiación | NMF - Nación Más Favorecida | Trato Nacional</t>
        </is>
      </c>
      <c r="K228" s="32" t="inlineStr">
        <is>
          <t>314.00 USD</t>
        </is>
      </c>
      <c r="L228" s="32" t="inlineStr"/>
      <c r="M228" s="32" t="inlineStr">
        <is>
          <t>Primary - B - Mining and quarrying</t>
        </is>
      </c>
      <c r="N228" s="32" t="inlineStr"/>
      <c r="O228" s="32" t="inlineStr">
        <is>
          <t>CAFTA - DR (2004)</t>
        </is>
      </c>
      <c r="P228" s="32" t="inlineStr"/>
      <c r="Q228" s="32" t="inlineStr">
        <is>
          <t>Veeder, V. V. - President; Tawil, G. S. - Claimant; Stern, B. - Respondent</t>
        </is>
      </c>
      <c r="R228" s="32" t="inlineStr"/>
      <c r="S228" s="32" t="inlineStr"/>
      <c r="T228" s="32" t="inlineStr">
        <is>
          <t>Indeterminado</t>
        </is>
      </c>
      <c r="U228" s="32" t="inlineStr">
        <is>
          <t>http://www.italaw.com/cases/783</t>
        </is>
      </c>
      <c r="V228" s="32" t="inlineStr">
        <is>
          <t>Sí</t>
        </is>
      </c>
    </row>
    <row r="229">
      <c r="A229" s="32" t="n">
        <v>228</v>
      </c>
      <c r="B229" s="32" t="inlineStr">
        <is>
          <t>Reinhard Unglaube v. Costa Rica</t>
        </is>
      </c>
      <c r="C229" s="32" t="inlineStr">
        <is>
          <t>Reinhard Hans Unglaube v. Republic of Costa Rica (ICSID Case No. ARB/09/20)</t>
        </is>
      </c>
      <c r="D229" s="32" t="inlineStr">
        <is>
          <t>Costa Rica</t>
        </is>
      </c>
      <c r="E229" s="32" t="inlineStr">
        <is>
          <t>América Central/Caribe</t>
        </is>
      </c>
      <c r="F229" s="32" t="inlineStr">
        <is>
          <t>Germany</t>
        </is>
      </c>
      <c r="G229" s="32" t="n">
        <v>2009</v>
      </c>
      <c r="H229" s="32" t="inlineStr">
        <is>
          <t>No - ganó el Estado</t>
        </is>
      </c>
      <c r="I229" s="32" t="inlineStr">
        <is>
          <t>No</t>
        </is>
      </c>
      <c r="J229" s="32" t="inlineStr">
        <is>
          <t>Expropiación</t>
        </is>
      </c>
      <c r="K229" s="32" t="inlineStr">
        <is>
          <t>4.40 USD</t>
        </is>
      </c>
      <c r="L229" s="32" t="inlineStr"/>
      <c r="M229" s="32" t="inlineStr">
        <is>
          <t>Tertiary - L - Real estate activities</t>
        </is>
      </c>
      <c r="N229" s="32" t="inlineStr">
        <is>
          <t>Decreto/Reglamento | Medida legislativa | Incumplimiento contractual | Expropiación de activos | Revocación de licencia</t>
        </is>
      </c>
      <c r="O229" s="32" t="inlineStr">
        <is>
          <t>Costa Rica - Germany BIT (1994)</t>
        </is>
      </c>
      <c r="P229" s="32" t="inlineStr"/>
      <c r="Q229" s="32" t="inlineStr">
        <is>
          <t>Kessler, J. L. - President; Berman, F. - Claimant; Cremades, B. M. - Respondent</t>
        </is>
      </c>
      <c r="R229" s="32" t="inlineStr"/>
      <c r="S229" s="32" t="inlineStr"/>
      <c r="T229" s="32" t="inlineStr">
        <is>
          <t>Inglés</t>
        </is>
      </c>
      <c r="U229" s="32" t="inlineStr">
        <is>
          <t>http://www.italaw.com/cases/1136</t>
        </is>
      </c>
      <c r="V229" s="32" t="inlineStr">
        <is>
          <t>Sí</t>
        </is>
      </c>
    </row>
    <row r="230">
      <c r="A230" s="33" t="n">
        <v>229</v>
      </c>
      <c r="B230" s="33" t="inlineStr">
        <is>
          <t>Swisslion v. Macedonia</t>
        </is>
      </c>
      <c r="C230" s="33" t="inlineStr">
        <is>
          <t>Swisslion DOO Skopje v. Macedonia, former Yugoslav Republic of (ICSID Case No. ARB/09/16)</t>
        </is>
      </c>
      <c r="D230" s="33" t="inlineStr">
        <is>
          <t>North Macedonia</t>
        </is>
      </c>
      <c r="E230" s="33" t="inlineStr">
        <is>
          <t>Europa Occidental</t>
        </is>
      </c>
      <c r="F230" s="33" t="inlineStr">
        <is>
          <t>Switzerland</t>
        </is>
      </c>
      <c r="G230" s="33" t="n">
        <v>2009</v>
      </c>
      <c r="H230" s="33" t="inlineStr">
        <is>
          <t>Sí con daños</t>
        </is>
      </c>
      <c r="I230" s="33" t="inlineStr">
        <is>
          <t>Sí</t>
        </is>
      </c>
      <c r="J230" s="33" t="inlineStr">
        <is>
          <t>TJE - Trato Justo y Equitativo | Expropiación</t>
        </is>
      </c>
      <c r="K230" s="33" t="inlineStr">
        <is>
          <t>21.00 EUR (26.00 USD)</t>
        </is>
      </c>
      <c r="L230" s="33" t="inlineStr">
        <is>
          <t>0.35 EUR (0.43 USD)</t>
        </is>
      </c>
      <c r="M230" s="33" t="inlineStr">
        <is>
          <t>Secondary - C - Manufacturing</t>
        </is>
      </c>
      <c r="N230" s="33" t="inlineStr"/>
      <c r="O230" s="33" t="inlineStr">
        <is>
          <t>Macedonia, The former Yugoslav Republic of - Switzerland BIT (1996)</t>
        </is>
      </c>
      <c r="P230" s="33" t="inlineStr"/>
      <c r="Q230" s="33" t="inlineStr">
        <is>
          <t>Guillaume, G. - President; Price, D. M. - Claimant; Thomas, J. C. - Respondent</t>
        </is>
      </c>
      <c r="R230" s="33" t="inlineStr"/>
      <c r="S230" s="33" t="inlineStr"/>
      <c r="T230" s="33" t="inlineStr">
        <is>
          <t>Inglés</t>
        </is>
      </c>
      <c r="U230" s="33" t="inlineStr">
        <is>
          <t>http://www.italaw.com/cases/1516</t>
        </is>
      </c>
      <c r="V230" s="33" t="inlineStr">
        <is>
          <t>Sí</t>
        </is>
      </c>
    </row>
    <row r="231">
      <c r="A231" s="33" t="n">
        <v>230</v>
      </c>
      <c r="B231" s="33" t="inlineStr">
        <is>
          <t>Teinver and others v. Argentina</t>
        </is>
      </c>
      <c r="C231" s="33" t="inlineStr">
        <is>
          <t>Autobuses Urbanos del Sur S.A., Teinver S.A. and Transportes de Cercanías S.A. v. Argentine Republic (ICSID Case No. ARB/09/1)</t>
        </is>
      </c>
      <c r="D231" s="33" t="inlineStr">
        <is>
          <t>Argentina</t>
        </is>
      </c>
      <c r="E231" s="33" t="inlineStr">
        <is>
          <t>América del Sur</t>
        </is>
      </c>
      <c r="F231" s="33" t="inlineStr">
        <is>
          <t>Spain</t>
        </is>
      </c>
      <c r="G231" s="33" t="n">
        <v>2009</v>
      </c>
      <c r="H231" s="33" t="inlineStr">
        <is>
          <t>Sí con daños</t>
        </is>
      </c>
      <c r="I231" s="33" t="inlineStr">
        <is>
          <t>Sí</t>
        </is>
      </c>
      <c r="J231" s="33" t="inlineStr">
        <is>
          <t>TJE - Trato Justo y Equitativo | Expropiación | Protección y Seguridad Plenas | Cláusula Paraguas | NMF</t>
        </is>
      </c>
      <c r="K231" s="33" t="inlineStr">
        <is>
          <t>1590.00 USD</t>
        </is>
      </c>
      <c r="L231" s="33" t="inlineStr">
        <is>
          <t>320.80 USD</t>
        </is>
      </c>
      <c r="M231" s="33" t="inlineStr">
        <is>
          <t>Tertiary - H - Transportation and storage</t>
        </is>
      </c>
      <c r="N231" s="33" t="inlineStr">
        <is>
          <t>Nacionalización</t>
        </is>
      </c>
      <c r="O231" s="33" t="inlineStr">
        <is>
          <t>Argentina - Spain BIT (1991)</t>
        </is>
      </c>
      <c r="P231" s="33" t="inlineStr"/>
      <c r="Q231" s="33" t="inlineStr">
        <is>
          <t>Buergenthal, T. - President; Álvarez, H. C. - Claimant; Hossain, K. - Respondent</t>
        </is>
      </c>
      <c r="R231" s="33" t="inlineStr">
        <is>
          <t>ICSID annulment proceedings</t>
        </is>
      </c>
      <c r="S231" s="33" t="inlineStr">
        <is>
          <t>Award/decision upheld ICSID annulment proceedings</t>
        </is>
      </c>
      <c r="T231" s="33" t="inlineStr">
        <is>
          <t>Inglés</t>
        </is>
      </c>
      <c r="U231" s="33" t="inlineStr">
        <is>
          <t>http://www.italaw.com/cases/1648</t>
        </is>
      </c>
      <c r="V231" s="33" t="inlineStr">
        <is>
          <t>Sí</t>
        </is>
      </c>
    </row>
    <row r="232">
      <c r="A232" s="32" t="n">
        <v>231</v>
      </c>
      <c r="B232" s="32" t="inlineStr">
        <is>
          <t>Alapli v. Turkey</t>
        </is>
      </c>
      <c r="C232" s="32" t="inlineStr">
        <is>
          <t>Alapli Elektrik B.V. v. Republic of Turkey (ICSID Case No. ARB/08/13)</t>
        </is>
      </c>
      <c r="D232" s="32" t="inlineStr">
        <is>
          <t>Türkiye</t>
        </is>
      </c>
      <c r="E232" s="32" t="inlineStr">
        <is>
          <t>Sin clasificar</t>
        </is>
      </c>
      <c r="F232" s="32" t="inlineStr">
        <is>
          <t>Netherlands</t>
        </is>
      </c>
      <c r="G232" s="32" t="n">
        <v>2008</v>
      </c>
      <c r="H232" s="32" t="inlineStr">
        <is>
          <t>No - ganó el Estado</t>
        </is>
      </c>
      <c r="I232" s="32" t="inlineStr">
        <is>
          <t>No</t>
        </is>
      </c>
      <c r="J232" s="32" t="inlineStr">
        <is>
          <t>TJE - Trato Justo y Equitativo | Expropiación | Protección y Seguridad Plenas | Cláusula Paraguas</t>
        </is>
      </c>
      <c r="K232" s="32" t="inlineStr">
        <is>
          <t>100.00 USD</t>
        </is>
      </c>
      <c r="L232" s="32" t="inlineStr"/>
      <c r="M232" s="32" t="inlineStr">
        <is>
          <t>Tertiary - D - Electricity, gas, steam and air conditioning supply</t>
        </is>
      </c>
      <c r="N232" s="32" t="inlineStr">
        <is>
          <t>Nacionalización</t>
        </is>
      </c>
      <c r="O232" s="32" t="inlineStr">
        <is>
          <t>The Energy Charter Treaty (1994);
Netherlands - Turkey BIT (1986)</t>
        </is>
      </c>
      <c r="P232" s="32" t="inlineStr">
        <is>
          <t>100% (wholly owned)</t>
        </is>
      </c>
      <c r="Q232" s="32" t="inlineStr">
        <is>
          <t>Park, W. W. - President; Lalonde, M. - Claimant; Stern, B. - Respondent</t>
        </is>
      </c>
      <c r="R232" s="32" t="inlineStr">
        <is>
          <t>ICSID annulment proceedings</t>
        </is>
      </c>
      <c r="S232" s="32" t="inlineStr">
        <is>
          <t>Award/decision upheld ICSID annulment proceedings</t>
        </is>
      </c>
      <c r="T232" s="32" t="inlineStr">
        <is>
          <t>Indeterminado</t>
        </is>
      </c>
      <c r="U232" s="32" t="inlineStr">
        <is>
          <t>http://www.italaw.com/cases/1708</t>
        </is>
      </c>
      <c r="V232" s="32" t="inlineStr">
        <is>
          <t>Sí</t>
        </is>
      </c>
    </row>
    <row r="233">
      <c r="A233" s="33" t="n">
        <v>232</v>
      </c>
      <c r="B233" s="33" t="inlineStr">
        <is>
          <t>ATA Construction v. Jordan</t>
        </is>
      </c>
      <c r="C233" s="33" t="inlineStr">
        <is>
          <t>ATA Construction, Industrial and Trading Company v. Hashemite Kingdom of Jordan (ICSID Case No. ARB/08/2)</t>
        </is>
      </c>
      <c r="D233" s="33" t="inlineStr">
        <is>
          <t>Jordan</t>
        </is>
      </c>
      <c r="E233" s="33" t="inlineStr">
        <is>
          <t>Medio Oriente/Norte África</t>
        </is>
      </c>
      <c r="F233" s="33" t="inlineStr">
        <is>
          <t>Türkiye</t>
        </is>
      </c>
      <c r="G233" s="33" t="n">
        <v>2008</v>
      </c>
      <c r="H233" s="33" t="inlineStr">
        <is>
          <t>Sí con daños</t>
        </is>
      </c>
      <c r="I233" s="33" t="inlineStr">
        <is>
          <t>Sí</t>
        </is>
      </c>
      <c r="J233" s="33" t="inlineStr">
        <is>
          <t>TJE - Trato Justo y Equitativo | Expropiación</t>
        </is>
      </c>
      <c r="K233" s="33" t="inlineStr">
        <is>
          <t>5.90 USD</t>
        </is>
      </c>
      <c r="L233" s="33" t="inlineStr">
        <is>
          <t>Non-pecuniary relief</t>
        </is>
      </c>
      <c r="M233" s="33" t="inlineStr">
        <is>
          <t>Tertiary - F - Construction</t>
        </is>
      </c>
      <c r="N233" s="33" t="inlineStr"/>
      <c r="O233" s="33" t="inlineStr">
        <is>
          <t>Jordan - Turkey BIT (1993)</t>
        </is>
      </c>
      <c r="P233" s="33" t="inlineStr"/>
      <c r="Q233" s="33" t="inlineStr">
        <is>
          <t>Fortier, L. Y. - President; El-Kosheri, A. S. - Claimant; Reisman, W. M. - Respondent</t>
        </is>
      </c>
      <c r="R233" s="33" t="inlineStr">
        <is>
          <t>ICSID annulment proceedings</t>
        </is>
      </c>
      <c r="S233" s="33" t="inlineStr">
        <is>
          <t>Discontinued ICSID annulment proceedings</t>
        </is>
      </c>
      <c r="T233" s="33" t="inlineStr">
        <is>
          <t>Inglés</t>
        </is>
      </c>
      <c r="U233" s="33" t="inlineStr">
        <is>
          <t>http://www.italaw.com/cases/97</t>
        </is>
      </c>
      <c r="V233" s="33" t="inlineStr">
        <is>
          <t>Sí</t>
        </is>
      </c>
    </row>
    <row r="234">
      <c r="A234" s="32" t="n">
        <v>233</v>
      </c>
      <c r="B234" s="32" t="inlineStr">
        <is>
          <t>Bosh v. Ukraine</t>
        </is>
      </c>
      <c r="C234" s="32" t="inlineStr">
        <is>
          <t>Bosh International, Inc. and B&amp;P, LTD Foreign Investments Enterprise v. Ukraine (ICSID Case No. ARB/08/11)</t>
        </is>
      </c>
      <c r="D234" s="32" t="inlineStr">
        <is>
          <t>Ukraine</t>
        </is>
      </c>
      <c r="E234" s="32" t="inlineStr">
        <is>
          <t>Este Europa/Asia Central</t>
        </is>
      </c>
      <c r="F234" s="32" t="inlineStr">
        <is>
          <t>United States of America</t>
        </is>
      </c>
      <c r="G234" s="32" t="n">
        <v>2008</v>
      </c>
      <c r="H234" s="32" t="inlineStr">
        <is>
          <t>No - ganó el Estado</t>
        </is>
      </c>
      <c r="I234" s="32" t="inlineStr">
        <is>
          <t>No</t>
        </is>
      </c>
      <c r="J234" s="32" t="inlineStr">
        <is>
          <t>Cláusula Paraguas</t>
        </is>
      </c>
      <c r="K234" s="32" t="inlineStr">
        <is>
          <t>10.00 USD</t>
        </is>
      </c>
      <c r="L234" s="32" t="inlineStr"/>
      <c r="M234" s="32" t="inlineStr">
        <is>
          <t>Tertiary - F - Construction</t>
        </is>
      </c>
      <c r="N234" s="32" t="inlineStr"/>
      <c r="O234" s="32" t="inlineStr">
        <is>
          <t>Ukraine - United States of America BIT (1994)</t>
        </is>
      </c>
      <c r="P234" s="32" t="inlineStr">
        <is>
          <t>94.5%</t>
        </is>
      </c>
      <c r="Q234" s="32" t="inlineStr">
        <is>
          <t>Griffith, G. - President; Sands, P. - Claimant; McRae, D. M. - Respondent</t>
        </is>
      </c>
      <c r="R234" s="32" t="inlineStr"/>
      <c r="S234" s="32" t="inlineStr"/>
      <c r="T234" s="32" t="inlineStr">
        <is>
          <t>Inglés</t>
        </is>
      </c>
      <c r="U234" s="32" t="inlineStr">
        <is>
          <t>http://www.italaw.com/cases/1563</t>
        </is>
      </c>
      <c r="V234" s="32" t="inlineStr">
        <is>
          <t>Sí</t>
        </is>
      </c>
    </row>
    <row r="235">
      <c r="A235" s="33" t="n">
        <v>234</v>
      </c>
      <c r="B235" s="33" t="inlineStr">
        <is>
          <t>Burlington v. Ecuador</t>
        </is>
      </c>
      <c r="C235" s="33" t="inlineStr">
        <is>
          <t>Burlington Resources, Inc. v. Republic of Ecuador (ICSID Case No. ARB/08/5)</t>
        </is>
      </c>
      <c r="D235" s="33" t="inlineStr">
        <is>
          <t>Ecuador</t>
        </is>
      </c>
      <c r="E235" s="33" t="inlineStr">
        <is>
          <t>América del Sur</t>
        </is>
      </c>
      <c r="F235" s="33" t="inlineStr">
        <is>
          <t>United States of America</t>
        </is>
      </c>
      <c r="G235" s="33" t="n">
        <v>2008</v>
      </c>
      <c r="H235" s="33" t="inlineStr">
        <is>
          <t>Sí con daños</t>
        </is>
      </c>
      <c r="I235" s="33" t="inlineStr">
        <is>
          <t>Sí</t>
        </is>
      </c>
      <c r="J235" s="33" t="inlineStr">
        <is>
          <t>Expropiación | Protección y Seguridad Plenas</t>
        </is>
      </c>
      <c r="K235" s="33" t="inlineStr">
        <is>
          <t>1515.60 USD</t>
        </is>
      </c>
      <c r="L235" s="33" t="inlineStr">
        <is>
          <t>379.80 USD</t>
        </is>
      </c>
      <c r="M235" s="33" t="inlineStr">
        <is>
          <t>Primary - B - Mining and quarrying</t>
        </is>
      </c>
      <c r="N235" s="33" t="inlineStr">
        <is>
          <t>Expropiación recursos naturales</t>
        </is>
      </c>
      <c r="O235" s="33" t="inlineStr">
        <is>
          <t>Ecuador - United States of America BIT (1993)</t>
        </is>
      </c>
      <c r="P235" s="33" t="inlineStr"/>
      <c r="Q235" s="33" t="inlineStr">
        <is>
          <t>Kaufmann-Kohler, G. - President; Drymer, S. L. - Claimant; Orrego Vicuña, F. - Claimant (replaced); Stern, B. - Respondent</t>
        </is>
      </c>
      <c r="R235" s="33" t="inlineStr">
        <is>
          <t>ICSID annulment proceedings</t>
        </is>
      </c>
      <c r="S235" s="33" t="inlineStr">
        <is>
          <t>Discontinued ICSID annulment proceedings</t>
        </is>
      </c>
      <c r="T235" s="33" t="inlineStr">
        <is>
          <t>Indeterminado</t>
        </is>
      </c>
      <c r="U235" s="33" t="inlineStr">
        <is>
          <t>http://www.italaw.com/cases/181</t>
        </is>
      </c>
      <c r="V235" s="33" t="inlineStr">
        <is>
          <t>Sí</t>
        </is>
      </c>
    </row>
    <row r="236">
      <c r="A236" s="32" t="n">
        <v>235</v>
      </c>
      <c r="B236" s="32" t="inlineStr">
        <is>
          <t>Caratube v. Kazakhstan</t>
        </is>
      </c>
      <c r="C236" s="32" t="inlineStr">
        <is>
          <t>Caratube International Oil Company LLP v. Republic of Kazakhstan (ICSID Case No. ARB/08/12)</t>
        </is>
      </c>
      <c r="D236" s="32" t="inlineStr">
        <is>
          <t>Kazakhstan</t>
        </is>
      </c>
      <c r="E236" s="32" t="inlineStr">
        <is>
          <t>Este Europa/Asia Central</t>
        </is>
      </c>
      <c r="F236" s="32" t="inlineStr">
        <is>
          <t>United States of America</t>
        </is>
      </c>
      <c r="G236" s="32" t="n">
        <v>2008</v>
      </c>
      <c r="H236" s="32" t="inlineStr">
        <is>
          <t>No - ganó el Estado</t>
        </is>
      </c>
      <c r="I236" s="32" t="inlineStr">
        <is>
          <t>No</t>
        </is>
      </c>
      <c r="J236" s="32" t="inlineStr">
        <is>
          <t>Expropiación</t>
        </is>
      </c>
      <c r="K236" s="32" t="inlineStr">
        <is>
          <t>1149.00 USD</t>
        </is>
      </c>
      <c r="L236" s="32" t="inlineStr"/>
      <c r="M236" s="32" t="inlineStr">
        <is>
          <t>Primary - B - Mining and quarrying</t>
        </is>
      </c>
      <c r="N236" s="32" t="inlineStr">
        <is>
          <t>Rescisión de contrato | Expropiación recursos naturales</t>
        </is>
      </c>
      <c r="O236" s="32" t="inlineStr">
        <is>
          <t>Kazakhstan - United States of America BIT (1992)</t>
        </is>
      </c>
      <c r="P236" s="32" t="inlineStr"/>
      <c r="Q236" s="32" t="inlineStr">
        <is>
          <t>Böckstiegel, K.-H. - President; Griffith, G. - Claimant; Hossain, K. - Respondent</t>
        </is>
      </c>
      <c r="R236" s="32" t="inlineStr">
        <is>
          <t>ICSID annulment proceedings</t>
        </is>
      </c>
      <c r="S236" s="32" t="inlineStr">
        <is>
          <t>Award/decision upheld ICSID annulment proceedings</t>
        </is>
      </c>
      <c r="T236" s="32" t="inlineStr">
        <is>
          <t>Indeterminado</t>
        </is>
      </c>
      <c r="U236" s="32" t="inlineStr">
        <is>
          <t>http://www.italaw.com/cases/211</t>
        </is>
      </c>
      <c r="V236" s="32" t="inlineStr">
        <is>
          <t>Sí</t>
        </is>
      </c>
    </row>
    <row r="237">
      <c r="A237" s="32" t="n">
        <v>236</v>
      </c>
      <c r="B237" s="32" t="inlineStr">
        <is>
          <t>GEA v. Ukraine</t>
        </is>
      </c>
      <c r="C237" s="32" t="inlineStr">
        <is>
          <t>GEA Group Aktiengesellschaft v. Ukraine (ICSID Case No. ARB/08/16)</t>
        </is>
      </c>
      <c r="D237" s="32" t="inlineStr">
        <is>
          <t>Ukraine</t>
        </is>
      </c>
      <c r="E237" s="32" t="inlineStr">
        <is>
          <t>Este Europa/Asia Central</t>
        </is>
      </c>
      <c r="F237" s="32" t="inlineStr">
        <is>
          <t>Germany</t>
        </is>
      </c>
      <c r="G237" s="32" t="n">
        <v>2008</v>
      </c>
      <c r="H237" s="32" t="inlineStr">
        <is>
          <t>No - ganó el Estado</t>
        </is>
      </c>
      <c r="I237" s="32" t="inlineStr">
        <is>
          <t>No</t>
        </is>
      </c>
      <c r="J237" s="32" t="inlineStr">
        <is>
          <t>TJE - Trato Justo y Equitativo | Expropiación | Protección y Seguridad Plenas | NMF</t>
        </is>
      </c>
      <c r="K237" s="32" t="inlineStr">
        <is>
          <t>30.60 USD</t>
        </is>
      </c>
      <c r="L237" s="32" t="inlineStr"/>
      <c r="M237" s="32" t="inlineStr">
        <is>
          <t>Secondary - C - Manufacturing</t>
        </is>
      </c>
      <c r="N237" s="32" t="inlineStr">
        <is>
          <t>Expropiación recursos naturales</t>
        </is>
      </c>
      <c r="O237" s="32" t="inlineStr">
        <is>
          <t>Germany - Ukraine BIT (1993)</t>
        </is>
      </c>
      <c r="P237" s="32" t="inlineStr"/>
      <c r="Q237" s="32" t="inlineStr">
        <is>
          <t>van den Berg, A. J. - President; Landau, T. - Claimant; Stern, B. - Respondent</t>
        </is>
      </c>
      <c r="R237" s="32" t="inlineStr"/>
      <c r="S237" s="32" t="inlineStr"/>
      <c r="T237" s="32" t="inlineStr">
        <is>
          <t>Inglés</t>
        </is>
      </c>
      <c r="U237" s="32" t="inlineStr">
        <is>
          <t>http://www.italaw.com/cases/478</t>
        </is>
      </c>
      <c r="V237" s="32" t="inlineStr">
        <is>
          <t>Sí</t>
        </is>
      </c>
    </row>
    <row r="238">
      <c r="A238" s="33" t="n">
        <v>237</v>
      </c>
      <c r="B238" s="33" t="inlineStr">
        <is>
          <t>Inmaris Perestroika v. Ukraine</t>
        </is>
      </c>
      <c r="C238" s="33" t="inlineStr">
        <is>
          <t>Inmaris Perestroika Sailing Maritime Services GmbH and others v. Ukraine (ICSID Case No. ARB/08/8)</t>
        </is>
      </c>
      <c r="D238" s="33" t="inlineStr">
        <is>
          <t>Ukraine</t>
        </is>
      </c>
      <c r="E238" s="33" t="inlineStr">
        <is>
          <t>Este Europa/Asia Central</t>
        </is>
      </c>
      <c r="F238" s="33" t="inlineStr">
        <is>
          <t>Germany</t>
        </is>
      </c>
      <c r="G238" s="33" t="n">
        <v>2008</v>
      </c>
      <c r="H238" s="33" t="inlineStr">
        <is>
          <t>Sí con daños</t>
        </is>
      </c>
      <c r="I238" s="33" t="inlineStr">
        <is>
          <t>Sí</t>
        </is>
      </c>
      <c r="J238" s="33" t="inlineStr"/>
      <c r="K238" s="33" t="inlineStr">
        <is>
          <t>15.00 EUR (23.50 USD)</t>
        </is>
      </c>
      <c r="L238" s="33" t="inlineStr">
        <is>
          <t>3.00 EUR (3.80 USD)</t>
        </is>
      </c>
      <c r="M238" s="33" t="inlineStr">
        <is>
          <t>Tertiary - H - Transportation and storage</t>
        </is>
      </c>
      <c r="N238" s="33" t="inlineStr">
        <is>
          <t>Expropiación recursos naturales</t>
        </is>
      </c>
      <c r="O238" s="33" t="inlineStr">
        <is>
          <t>Germany - Ukraine BIT (1993)</t>
        </is>
      </c>
      <c r="P238" s="33" t="inlineStr"/>
      <c r="Q238" s="33" t="inlineStr">
        <is>
          <t>Alexandrov, S. A. - President; Rubins, N. - Claimant; Cremades, B. M. - Respondent</t>
        </is>
      </c>
      <c r="R238" s="33" t="inlineStr"/>
      <c r="S238" s="33" t="inlineStr"/>
      <c r="T238" s="33" t="inlineStr">
        <is>
          <t>Inglés</t>
        </is>
      </c>
      <c r="U238" s="33" t="inlineStr">
        <is>
          <t>http://www.italaw.com/cases/565</t>
        </is>
      </c>
      <c r="V238" s="33" t="inlineStr">
        <is>
          <t>Sí</t>
        </is>
      </c>
    </row>
    <row r="239">
      <c r="A239" s="33" t="n">
        <v>238</v>
      </c>
      <c r="B239" s="33" t="inlineStr">
        <is>
          <t>Karmer Marble v. Georgia</t>
        </is>
      </c>
      <c r="C239" s="33" t="inlineStr">
        <is>
          <t>Karmer Marble Tourism Construction Industry and Commerce Limited Liability Company v. Georgia (ICSID Case No. ARB/08/19)</t>
        </is>
      </c>
      <c r="D239" s="33" t="inlineStr">
        <is>
          <t>Georgia</t>
        </is>
      </c>
      <c r="E239" s="33" t="inlineStr">
        <is>
          <t>Este Europa/Asia Central</t>
        </is>
      </c>
      <c r="F239" s="33" t="inlineStr">
        <is>
          <t>Türkiye</t>
        </is>
      </c>
      <c r="G239" s="33" t="n">
        <v>2008</v>
      </c>
      <c r="H239" s="33" t="inlineStr">
        <is>
          <t>Sí con daños</t>
        </is>
      </c>
      <c r="I239" s="33" t="inlineStr">
        <is>
          <t>Sí</t>
        </is>
      </c>
      <c r="J239" s="33" t="inlineStr"/>
      <c r="K239" s="33" t="inlineStr"/>
      <c r="L239" s="33" t="inlineStr"/>
      <c r="M239" s="33" t="inlineStr">
        <is>
          <t>Tertiary - F - Construction</t>
        </is>
      </c>
      <c r="N239" s="33" t="inlineStr"/>
      <c r="O239" s="33" t="inlineStr">
        <is>
          <t>Georgia - Turkey BIT (1992)</t>
        </is>
      </c>
      <c r="P239" s="33" t="inlineStr"/>
      <c r="Q239" s="33" t="inlineStr">
        <is>
          <t>Lalonde, M. - President; Orrego Vicuña, F. - Claimant; Schwartz, E. - Respondent</t>
        </is>
      </c>
      <c r="R239" s="33" t="inlineStr">
        <is>
          <t>ICSID annulment proceedings</t>
        </is>
      </c>
      <c r="S239" s="33" t="inlineStr">
        <is>
          <t>Discontinued ICSID annulment proceedings</t>
        </is>
      </c>
      <c r="T239" s="33" t="inlineStr">
        <is>
          <t>Inglés</t>
        </is>
      </c>
      <c r="U239" s="33" t="inlineStr">
        <is>
          <t>http://www.italaw.com/cases/1579</t>
        </is>
      </c>
      <c r="V239" s="33" t="inlineStr">
        <is>
          <t>Sí</t>
        </is>
      </c>
    </row>
    <row r="240">
      <c r="A240" s="32" t="n">
        <v>239</v>
      </c>
      <c r="B240" s="32" t="inlineStr">
        <is>
          <t>Malicorp v. Egypt</t>
        </is>
      </c>
      <c r="C240" s="32" t="inlineStr">
        <is>
          <t>Malicorp Limited v. Arab Republic of Egypt (ICSID Case No. ARB/08/18)</t>
        </is>
      </c>
      <c r="D240" s="32" t="inlineStr">
        <is>
          <t>Egypt</t>
        </is>
      </c>
      <c r="E240" s="32" t="inlineStr">
        <is>
          <t>Medio Oriente/Norte África</t>
        </is>
      </c>
      <c r="F240" s="32" t="inlineStr">
        <is>
          <t>United Kingdom</t>
        </is>
      </c>
      <c r="G240" s="32" t="n">
        <v>2008</v>
      </c>
      <c r="H240" s="32" t="inlineStr">
        <is>
          <t>No - ganó el Estado</t>
        </is>
      </c>
      <c r="I240" s="32" t="inlineStr">
        <is>
          <t>No</t>
        </is>
      </c>
      <c r="J240" s="32" t="inlineStr">
        <is>
          <t>TJE - Trato Justo y Equitativo | Expropiación</t>
        </is>
      </c>
      <c r="K240" s="32" t="inlineStr"/>
      <c r="L240" s="32" t="inlineStr"/>
      <c r="M240" s="32" t="inlineStr">
        <is>
          <t>Tertiary - F - Construction;
Tertiary - H - Transportation and storage;
Tertiary - H - Transportation and storage</t>
        </is>
      </c>
      <c r="N240" s="32" t="inlineStr"/>
      <c r="O240" s="32" t="inlineStr">
        <is>
          <t>Egypt - United Kingdom BIT (1975)</t>
        </is>
      </c>
      <c r="P240" s="32" t="inlineStr"/>
      <c r="Q240" s="32" t="inlineStr">
        <is>
          <t>Tercier, P. - President; Baptista, L. O. - Claimant; Tschanz, P.-Y. - Respondent</t>
        </is>
      </c>
      <c r="R240" s="32" t="inlineStr">
        <is>
          <t>ICSID annulment proceedings</t>
        </is>
      </c>
      <c r="S240" s="32" t="inlineStr">
        <is>
          <t>Award/decision upheld ICSID annulment proceedings</t>
        </is>
      </c>
      <c r="T240" s="32" t="inlineStr">
        <is>
          <t>Indeterminado</t>
        </is>
      </c>
      <c r="U240" s="32" t="inlineStr">
        <is>
          <t>http://www.italaw.com/cases/660</t>
        </is>
      </c>
      <c r="V240" s="32" t="inlineStr">
        <is>
          <t>Sí</t>
        </is>
      </c>
    </row>
    <row r="241">
      <c r="A241" s="33" t="n">
        <v>240</v>
      </c>
      <c r="B241" s="33" t="inlineStr">
        <is>
          <t>Marion Unglaube v. Costa Rica</t>
        </is>
      </c>
      <c r="C241" s="33" t="inlineStr">
        <is>
          <t>Marion Unglaube v. Republic of Costa Rica (ICSID Case No. ARB/08/1)</t>
        </is>
      </c>
      <c r="D241" s="33" t="inlineStr">
        <is>
          <t>Costa Rica</t>
        </is>
      </c>
      <c r="E241" s="33" t="inlineStr">
        <is>
          <t>América Central/Caribe</t>
        </is>
      </c>
      <c r="F241" s="33" t="inlineStr">
        <is>
          <t>Germany</t>
        </is>
      </c>
      <c r="G241" s="33" t="n">
        <v>2008</v>
      </c>
      <c r="H241" s="33" t="inlineStr">
        <is>
          <t>Sí con daños</t>
        </is>
      </c>
      <c r="I241" s="33" t="inlineStr">
        <is>
          <t>Sí</t>
        </is>
      </c>
      <c r="J241" s="33" t="inlineStr">
        <is>
          <t>Expropiación</t>
        </is>
      </c>
      <c r="K241" s="33" t="inlineStr">
        <is>
          <t>4.40 USD</t>
        </is>
      </c>
      <c r="L241" s="33" t="inlineStr">
        <is>
          <t>3.10 USD</t>
        </is>
      </c>
      <c r="M241" s="33" t="inlineStr">
        <is>
          <t>Tertiary - L - Real estate activities</t>
        </is>
      </c>
      <c r="N241" s="33" t="inlineStr">
        <is>
          <t>Decreto/Reglamento | Medida legislativa | Incumplimiento contractual | Expropiación de activos | Revocación de licencia</t>
        </is>
      </c>
      <c r="O241" s="33" t="inlineStr">
        <is>
          <t>Costa Rica - Germany BIT (1994)</t>
        </is>
      </c>
      <c r="P241" s="33" t="inlineStr"/>
      <c r="Q241" s="33" t="inlineStr">
        <is>
          <t>Kessler, J. L. - President; Berman, F. - Claimant; Cremades, B. M. - Respondent</t>
        </is>
      </c>
      <c r="R241" s="33" t="inlineStr"/>
      <c r="S241" s="33" t="inlineStr"/>
      <c r="T241" s="33" t="inlineStr">
        <is>
          <t>Inglés</t>
        </is>
      </c>
      <c r="U241" s="33" t="inlineStr">
        <is>
          <t>http://www.italaw.com/cases/1134</t>
        </is>
      </c>
      <c r="V241" s="33" t="inlineStr">
        <is>
          <t>Sí</t>
        </is>
      </c>
    </row>
    <row r="242">
      <c r="A242" s="32" t="n">
        <v>241</v>
      </c>
      <c r="B242" s="32" t="inlineStr">
        <is>
          <t>Murphy v. Ecuador (I)</t>
        </is>
      </c>
      <c r="C242" s="32" t="inlineStr">
        <is>
          <t>Murphy Exploration and Production Company International v. Republic of Ecuador (I) (ICSID Case No. ARB/08/4)</t>
        </is>
      </c>
      <c r="D242" s="32" t="inlineStr">
        <is>
          <t>Ecuador</t>
        </is>
      </c>
      <c r="E242" s="32" t="inlineStr">
        <is>
          <t>América del Sur</t>
        </is>
      </c>
      <c r="F242" s="32" t="inlineStr">
        <is>
          <t>United States of America</t>
        </is>
      </c>
      <c r="G242" s="32" t="n">
        <v>2008</v>
      </c>
      <c r="H242" s="32" t="inlineStr">
        <is>
          <t>No - ganó el Estado</t>
        </is>
      </c>
      <c r="I242" s="32" t="inlineStr">
        <is>
          <t>No</t>
        </is>
      </c>
      <c r="J242" s="32" t="inlineStr">
        <is>
          <t>TJE - Trato Justo y Equitativo | Expropiación | Cláusula Paraguas</t>
        </is>
      </c>
      <c r="K242" s="32" t="inlineStr"/>
      <c r="L242" s="32" t="inlineStr"/>
      <c r="M242" s="32" t="inlineStr">
        <is>
          <t>Primary - B - Mining and quarrying</t>
        </is>
      </c>
      <c r="N242" s="32" t="inlineStr">
        <is>
          <t>Medida fiscal | Expropiación recursos naturales</t>
        </is>
      </c>
      <c r="O242" s="32" t="inlineStr">
        <is>
          <t>Ecuador - United States of America BIT (1993)</t>
        </is>
      </c>
      <c r="P242" s="32" t="inlineStr"/>
      <c r="Q242" s="32" t="inlineStr">
        <is>
          <t>Oreamuno Blanco, R. - President; Grigera Naón, H. A. - Claimant; Vinuesa, R. E. - Respondent</t>
        </is>
      </c>
      <c r="R242" s="32" t="inlineStr"/>
      <c r="S242" s="32" t="inlineStr"/>
      <c r="T242" s="32" t="inlineStr">
        <is>
          <t>Inglés</t>
        </is>
      </c>
      <c r="U242" s="32" t="inlineStr">
        <is>
          <t>http://www.italaw.com/cases/723</t>
        </is>
      </c>
      <c r="V242" s="32" t="inlineStr">
        <is>
          <t>Sí</t>
        </is>
      </c>
    </row>
    <row r="243">
      <c r="A243" s="33" t="n">
        <v>242</v>
      </c>
      <c r="B243" s="33" t="inlineStr">
        <is>
          <t>Perenco v. Ecuador</t>
        </is>
      </c>
      <c r="C243" s="33" t="inlineStr">
        <is>
          <t>Perenco Ecuador Limited v. Republic of Ecuador (Petroecuador) (ICSID Case No. ARB/08/6)</t>
        </is>
      </c>
      <c r="D243" s="33" t="inlineStr">
        <is>
          <t>Ecuador</t>
        </is>
      </c>
      <c r="E243" s="33" t="inlineStr">
        <is>
          <t>América del Sur</t>
        </is>
      </c>
      <c r="F243" s="33" t="inlineStr">
        <is>
          <t>Bahamas</t>
        </is>
      </c>
      <c r="G243" s="33" t="n">
        <v>2008</v>
      </c>
      <c r="H243" s="33" t="inlineStr">
        <is>
          <t>Sí con daños</t>
        </is>
      </c>
      <c r="I243" s="33" t="inlineStr">
        <is>
          <t>Sí</t>
        </is>
      </c>
      <c r="J243" s="33" t="inlineStr"/>
      <c r="K243" s="33" t="inlineStr">
        <is>
          <t>1423.00 USD</t>
        </is>
      </c>
      <c r="L243" s="33" t="inlineStr">
        <is>
          <t>416.50 USD</t>
        </is>
      </c>
      <c r="M243" s="33" t="inlineStr">
        <is>
          <t>Primary - B - Mining and quarrying</t>
        </is>
      </c>
      <c r="N243" s="33" t="inlineStr"/>
      <c r="O243" s="33" t="inlineStr">
        <is>
          <t>Ecuador - France BIT (1994)</t>
        </is>
      </c>
      <c r="P243" s="33" t="inlineStr"/>
      <c r="Q243" s="33" t="inlineStr">
        <is>
          <t>Tomka, P. - President; Bingham, T. - President (replaced); Kaplan, N. - Claimant; Brower, C. N. - Claimant (replaced); Thomas, J. C. - Respondent</t>
        </is>
      </c>
      <c r="R243" s="33" t="inlineStr">
        <is>
          <t>ICSID annulment proceedings</t>
        </is>
      </c>
      <c r="S243" s="33" t="inlineStr">
        <is>
          <t>Award/decision partially annulled ICSID annulment proceedings</t>
        </is>
      </c>
      <c r="T243" s="33" t="inlineStr">
        <is>
          <t>Indeterminado</t>
        </is>
      </c>
      <c r="U243" s="33" t="inlineStr">
        <is>
          <t>http://www.italaw.com/cases/819</t>
        </is>
      </c>
      <c r="V243" s="33" t="inlineStr">
        <is>
          <t>Sí</t>
        </is>
      </c>
    </row>
    <row r="244">
      <c r="A244" s="32" t="n">
        <v>243</v>
      </c>
      <c r="B244" s="32" t="inlineStr">
        <is>
          <t>AES v. Hungary (II)</t>
        </is>
      </c>
      <c r="C244" s="32" t="inlineStr">
        <is>
          <t>AES Summit Generation Limited and AES-Tisza Erömü Kft. v. Republic of Hungary (II) (ICSID Case No. ARB/07/22)</t>
        </is>
      </c>
      <c r="D244" s="32" t="inlineStr">
        <is>
          <t>Hungary</t>
        </is>
      </c>
      <c r="E244" s="32" t="inlineStr">
        <is>
          <t>Europa Occidental</t>
        </is>
      </c>
      <c r="F244" s="32" t="inlineStr">
        <is>
          <t>United Kingdom</t>
        </is>
      </c>
      <c r="G244" s="32" t="n">
        <v>2007</v>
      </c>
      <c r="H244" s="32" t="inlineStr">
        <is>
          <t>No - ganó el Estado</t>
        </is>
      </c>
      <c r="I244" s="32" t="inlineStr">
        <is>
          <t>No</t>
        </is>
      </c>
      <c r="J244" s="32" t="inlineStr">
        <is>
          <t>TJE - Trato Justo y Equitativo | Expropiación | NMF</t>
        </is>
      </c>
      <c r="K244" s="32" t="inlineStr">
        <is>
          <t>230.00 USD</t>
        </is>
      </c>
      <c r="L244" s="32" t="inlineStr"/>
      <c r="M244" s="32" t="inlineStr">
        <is>
          <t>Tertiary - D - Electricity, gas, steam and air conditioning supply</t>
        </is>
      </c>
      <c r="N244" s="32" t="inlineStr">
        <is>
          <t>Nacionalización</t>
        </is>
      </c>
      <c r="O244" s="32" t="inlineStr">
        <is>
          <t>The Energy Charter Treaty (1994)</t>
        </is>
      </c>
      <c r="P244" s="32" t="inlineStr"/>
      <c r="Q244" s="32" t="inlineStr">
        <is>
          <t>von Wobeser, C. - President; Rowley, J. W. - Claimant; Stern, B. - Respondent</t>
        </is>
      </c>
      <c r="R244" s="32" t="inlineStr">
        <is>
          <t>ICSID annulment proceedings</t>
        </is>
      </c>
      <c r="S244" s="32" t="inlineStr">
        <is>
          <t>Award/decision upheld ICSID annulment proceedings</t>
        </is>
      </c>
      <c r="T244" s="32" t="inlineStr">
        <is>
          <t>Inglés</t>
        </is>
      </c>
      <c r="U244" s="32" t="inlineStr">
        <is>
          <t>http://www.italaw.com/cases/193</t>
        </is>
      </c>
      <c r="V244" s="32" t="inlineStr">
        <is>
          <t>Sí</t>
        </is>
      </c>
    </row>
    <row r="245">
      <c r="A245" s="33" t="n">
        <v>244</v>
      </c>
      <c r="B245" s="33" t="inlineStr">
        <is>
          <t>Alpha Projektholding v. Ukraine</t>
        </is>
      </c>
      <c r="C245" s="33" t="inlineStr">
        <is>
          <t>Alpha Projektholding GmbH v. Ukraine (ICSID Case No. ARB/07/16)</t>
        </is>
      </c>
      <c r="D245" s="33" t="inlineStr">
        <is>
          <t>Ukraine</t>
        </is>
      </c>
      <c r="E245" s="33" t="inlineStr">
        <is>
          <t>Este Europa/Asia Central</t>
        </is>
      </c>
      <c r="F245" s="33" t="inlineStr">
        <is>
          <t>Austria</t>
        </is>
      </c>
      <c r="G245" s="33" t="n">
        <v>2007</v>
      </c>
      <c r="H245" s="33" t="inlineStr">
        <is>
          <t>Sí con daños</t>
        </is>
      </c>
      <c r="I245" s="33" t="inlineStr">
        <is>
          <t>Sí</t>
        </is>
      </c>
      <c r="J245" s="33" t="inlineStr"/>
      <c r="K245" s="33" t="inlineStr">
        <is>
          <t>11.40 USD</t>
        </is>
      </c>
      <c r="L245" s="33" t="inlineStr">
        <is>
          <t>2.90 USD</t>
        </is>
      </c>
      <c r="M245" s="33" t="inlineStr">
        <is>
          <t>Tertiary - F - Construction;
Tertiary - I - Accommodation and food service activities</t>
        </is>
      </c>
      <c r="N245" s="33" t="inlineStr"/>
      <c r="O245" s="33" t="inlineStr">
        <is>
          <t>Austria - Ukraine BIT (1996)</t>
        </is>
      </c>
      <c r="P245" s="33" t="inlineStr"/>
      <c r="Q245" s="33" t="inlineStr">
        <is>
          <t>Robinson, D. R. - President; Turbowicz, Y. A. - Claimant; Alexandrov, S. A. - Respondent</t>
        </is>
      </c>
      <c r="R245" s="33" t="inlineStr"/>
      <c r="S245" s="33" t="inlineStr"/>
      <c r="T245" s="33" t="inlineStr">
        <is>
          <t>Inglés</t>
        </is>
      </c>
      <c r="U245" s="33" t="inlineStr">
        <is>
          <t>http://www.italaw.com/cases/71</t>
        </is>
      </c>
      <c r="V245" s="33" t="inlineStr">
        <is>
          <t>Sí</t>
        </is>
      </c>
    </row>
    <row r="246">
      <c r="A246" s="32" t="n">
        <v>245</v>
      </c>
      <c r="B246" s="32" t="inlineStr">
        <is>
          <t>Anderson v. Costa Rica</t>
        </is>
      </c>
      <c r="C246" s="32" t="inlineStr">
        <is>
          <t>Alasdair Ross Anderson and others v. Republic of Costa Rica (ICSID Case No. ARB(AF)/07/3)</t>
        </is>
      </c>
      <c r="D246" s="32" t="inlineStr">
        <is>
          <t>Costa Rica</t>
        </is>
      </c>
      <c r="E246" s="32" t="inlineStr">
        <is>
          <t>América Central/Caribe</t>
        </is>
      </c>
      <c r="F246" s="32" t="inlineStr">
        <is>
          <t>Canada</t>
        </is>
      </c>
      <c r="G246" s="32" t="n">
        <v>2007</v>
      </c>
      <c r="H246" s="32" t="inlineStr">
        <is>
          <t>No - ganó el Estado</t>
        </is>
      </c>
      <c r="I246" s="32" t="inlineStr">
        <is>
          <t>No</t>
        </is>
      </c>
      <c r="J246" s="32" t="inlineStr">
        <is>
          <t>TJE - Trato Justo y Equitativo | Expropiación</t>
        </is>
      </c>
      <c r="K246" s="32" t="inlineStr">
        <is>
          <t>405.00 USD</t>
        </is>
      </c>
      <c r="L246" s="32" t="inlineStr"/>
      <c r="M246" s="32" t="inlineStr">
        <is>
          <t>Tertiary - K - Financial and insurance activities</t>
        </is>
      </c>
      <c r="N246" s="32" t="inlineStr">
        <is>
          <t>Medida legislativa | Incumplimiento contractual | Expropiación de activos | Revocación de licencia</t>
        </is>
      </c>
      <c r="O246" s="32" t="inlineStr">
        <is>
          <t>Canada - Costa Rica BIT (1998)</t>
        </is>
      </c>
      <c r="P246" s="32" t="inlineStr">
        <is>
          <t>Inversión indirecta (holding)</t>
        </is>
      </c>
      <c r="Q246" s="32" t="inlineStr">
        <is>
          <t>Morelli Rico, S. - President; Salacuse, J. W. - Claimant; Vinuesa, R. E. - Respondent</t>
        </is>
      </c>
      <c r="R246" s="32" t="inlineStr"/>
      <c r="S246" s="32" t="inlineStr"/>
      <c r="T246" s="32" t="inlineStr">
        <is>
          <t>Inglés</t>
        </is>
      </c>
      <c r="U246" s="32" t="inlineStr">
        <is>
          <t>http://www.italaw.com/cases/85</t>
        </is>
      </c>
      <c r="V246" s="32" t="inlineStr">
        <is>
          <t>Sí</t>
        </is>
      </c>
    </row>
    <row r="247">
      <c r="A247" s="33" t="n">
        <v>246</v>
      </c>
      <c r="B247" s="33" t="inlineStr">
        <is>
          <t>ConocoPhillips v. Venezuela</t>
        </is>
      </c>
      <c r="C247" s="33" t="inlineStr">
        <is>
          <t>ConocoPhillips Petrozuata B.V., ConocoPhillips Hamaca B.V. and ConocoPhillips Gulf of Paria B.V. v. Bolivarian Republic of Venezuela (ICSID Case No. ARB/07/30)</t>
        </is>
      </c>
      <c r="D247" s="33" t="inlineStr">
        <is>
          <t>Venezuela, Bolivarian Republic of</t>
        </is>
      </c>
      <c r="E247" s="33" t="inlineStr">
        <is>
          <t>América del Sur</t>
        </is>
      </c>
      <c r="F247" s="33" t="inlineStr">
        <is>
          <t>Netherlands</t>
        </is>
      </c>
      <c r="G247" s="33" t="n">
        <v>2007</v>
      </c>
      <c r="H247" s="33" t="inlineStr">
        <is>
          <t>Sí con daños</t>
        </is>
      </c>
      <c r="I247" s="33" t="inlineStr">
        <is>
          <t>Sí</t>
        </is>
      </c>
      <c r="J247" s="33" t="inlineStr">
        <is>
          <t>Expropiación</t>
        </is>
      </c>
      <c r="K247" s="33" t="inlineStr">
        <is>
          <t>30305.00 USD</t>
        </is>
      </c>
      <c r="L247" s="33" t="inlineStr">
        <is>
          <t>8366.10 USD</t>
        </is>
      </c>
      <c r="M247" s="33" t="inlineStr">
        <is>
          <t>Primary - B - Mining and quarrying</t>
        </is>
      </c>
      <c r="N247" s="33" t="inlineStr">
        <is>
          <t>Nacionalización</t>
        </is>
      </c>
      <c r="O247" s="33" t="inlineStr">
        <is>
          <t>Netherlands - Venezuela, Bolivarian Republic of BIT (1991)</t>
        </is>
      </c>
      <c r="P247" s="33" t="inlineStr"/>
      <c r="Q247" s="33" t="inlineStr">
        <is>
          <t>Keith, K. - President (replaced); Fortier, L. Y. - Claimant; Abi-Saab, G. - Respondent (replaced); Brownlie, I. - Respondent (replaced); Bucher, A. - Respondent; Zuleta, E. - President</t>
        </is>
      </c>
      <c r="R247" s="33" t="inlineStr">
        <is>
          <t>ICSID annulment proceedings</t>
        </is>
      </c>
      <c r="S247" s="33" t="inlineStr">
        <is>
          <t>Pending ICSID annulment proceedings</t>
        </is>
      </c>
      <c r="T247" s="33" t="inlineStr">
        <is>
          <t>Indeterminado</t>
        </is>
      </c>
      <c r="U247" s="33" t="inlineStr">
        <is>
          <t>http://www.italaw.com/cases/321</t>
        </is>
      </c>
      <c r="V247" s="33" t="inlineStr">
        <is>
          <t>Sí</t>
        </is>
      </c>
    </row>
    <row r="248">
      <c r="A248" s="32" t="n">
        <v>247</v>
      </c>
      <c r="B248" s="32" t="inlineStr">
        <is>
          <t>Electrabel v. Hungary</t>
        </is>
      </c>
      <c r="C248" s="32" t="inlineStr">
        <is>
          <t>Electrabel S.A. v. The Republic of Hungary (ICSID Case No. ARB/07/19)</t>
        </is>
      </c>
      <c r="D248" s="32" t="inlineStr">
        <is>
          <t>Hungary</t>
        </is>
      </c>
      <c r="E248" s="32" t="inlineStr">
        <is>
          <t>Europa Occidental</t>
        </is>
      </c>
      <c r="F248" s="32" t="inlineStr">
        <is>
          <t>Belgium</t>
        </is>
      </c>
      <c r="G248" s="32" t="n">
        <v>2007</v>
      </c>
      <c r="H248" s="32" t="inlineStr">
        <is>
          <t>No - ganó el Estado</t>
        </is>
      </c>
      <c r="I248" s="32" t="inlineStr">
        <is>
          <t>No</t>
        </is>
      </c>
      <c r="J248" s="32" t="inlineStr">
        <is>
          <t>TJE - Trato Justo y Equitativo</t>
        </is>
      </c>
      <c r="K248" s="32" t="inlineStr">
        <is>
          <t>147000.00 HUF (679.70 USD)</t>
        </is>
      </c>
      <c r="L248" s="32" t="inlineStr"/>
      <c r="M248" s="32" t="inlineStr">
        <is>
          <t>Tertiary - D - Electricity, gas, steam and air conditioning supply</t>
        </is>
      </c>
      <c r="N248" s="32" t="inlineStr"/>
      <c r="O248" s="32" t="inlineStr">
        <is>
          <t>The Energy Charter Treaty (1994)</t>
        </is>
      </c>
      <c r="P248" s="32" t="inlineStr"/>
      <c r="Q248" s="32" t="inlineStr">
        <is>
          <t>Veeder, V. V. - President; Kaufmann-Kohler, G. - Claimant; Stern, B. - Respondent</t>
        </is>
      </c>
      <c r="R248" s="32" t="inlineStr"/>
      <c r="S248" s="32" t="inlineStr"/>
      <c r="T248" s="32" t="inlineStr">
        <is>
          <t>Inglés</t>
        </is>
      </c>
      <c r="U248" s="32" t="inlineStr">
        <is>
          <t>http://www.italaw.com/cases/380</t>
        </is>
      </c>
      <c r="V248" s="32" t="inlineStr">
        <is>
          <t>Sí</t>
        </is>
      </c>
    </row>
    <row r="249">
      <c r="A249" s="32" t="n">
        <v>248</v>
      </c>
      <c r="B249" s="32" t="inlineStr">
        <is>
          <t>Europe Cement v. Turkey</t>
        </is>
      </c>
      <c r="C249" s="32" t="inlineStr">
        <is>
          <t>Europe Cement Investment and Trade S.A. v. Republic of Turkey (ICSID Case No. ARB(AF)/07/2)</t>
        </is>
      </c>
      <c r="D249" s="32" t="inlineStr">
        <is>
          <t>Türkiye</t>
        </is>
      </c>
      <c r="E249" s="32" t="inlineStr">
        <is>
          <t>Sin clasificar</t>
        </is>
      </c>
      <c r="F249" s="32" t="inlineStr">
        <is>
          <t>Poland</t>
        </is>
      </c>
      <c r="G249" s="32" t="n">
        <v>2007</v>
      </c>
      <c r="H249" s="32" t="inlineStr">
        <is>
          <t>No - ganó el Estado</t>
        </is>
      </c>
      <c r="I249" s="32" t="inlineStr">
        <is>
          <t>No</t>
        </is>
      </c>
      <c r="J249" s="32" t="inlineStr">
        <is>
          <t>Expropiación</t>
        </is>
      </c>
      <c r="K249" s="32" t="inlineStr">
        <is>
          <t>3800.00 USD</t>
        </is>
      </c>
      <c r="L249" s="32" t="inlineStr"/>
      <c r="M249" s="32" t="inlineStr">
        <is>
          <t>Tertiary - D - Electricity, gas, steam and air conditioning supply</t>
        </is>
      </c>
      <c r="N249" s="32" t="inlineStr">
        <is>
          <t>Medida legislativa | Incumplimiento contractual | Expropiación de activos | Revocación de licencia</t>
        </is>
      </c>
      <c r="O249" s="32" t="inlineStr">
        <is>
          <t>The Energy Charter Treaty (1994)</t>
        </is>
      </c>
      <c r="P249" s="32" t="inlineStr"/>
      <c r="Q249" s="32" t="inlineStr">
        <is>
          <t>McRae, D. M. - President; Lew, J. D. M. - Claimant; Lévy, L. - Respondent</t>
        </is>
      </c>
      <c r="R249" s="32" t="inlineStr"/>
      <c r="S249" s="32" t="inlineStr"/>
      <c r="T249" s="32" t="inlineStr">
        <is>
          <t>Inglés</t>
        </is>
      </c>
      <c r="U249" s="32" t="inlineStr">
        <is>
          <t>http://www.italaw.com/cases/421</t>
        </is>
      </c>
      <c r="V249" s="32" t="inlineStr">
        <is>
          <t>Sí</t>
        </is>
      </c>
    </row>
    <row r="250">
      <c r="A250" s="33" t="n">
        <v>249</v>
      </c>
      <c r="B250" s="33" t="inlineStr">
        <is>
          <t>Fuchs v. Georgia</t>
        </is>
      </c>
      <c r="C250" s="33" t="inlineStr">
        <is>
          <t>Ron Fuchs v. The Republic of Georgia (ICSID Case No. ARB/07/15)</t>
        </is>
      </c>
      <c r="D250" s="33" t="inlineStr">
        <is>
          <t>Georgia</t>
        </is>
      </c>
      <c r="E250" s="33" t="inlineStr">
        <is>
          <t>Este Europa/Asia Central</t>
        </is>
      </c>
      <c r="F250" s="33" t="inlineStr">
        <is>
          <t>Israel</t>
        </is>
      </c>
      <c r="G250" s="33" t="n">
        <v>2007</v>
      </c>
      <c r="H250" s="33" t="inlineStr">
        <is>
          <t>Sí con daños</t>
        </is>
      </c>
      <c r="I250" s="33" t="inlineStr">
        <is>
          <t>Sí</t>
        </is>
      </c>
      <c r="J250" s="33" t="inlineStr">
        <is>
          <t>Expropiación</t>
        </is>
      </c>
      <c r="K250" s="33" t="inlineStr">
        <is>
          <t>30.20 USD</t>
        </is>
      </c>
      <c r="L250" s="33" t="inlineStr">
        <is>
          <t>15.10 USD</t>
        </is>
      </c>
      <c r="M250" s="33" t="inlineStr">
        <is>
          <t>Tertiary - H - Transportation and storage</t>
        </is>
      </c>
      <c r="N250" s="33" t="inlineStr"/>
      <c r="O250" s="33" t="inlineStr">
        <is>
          <t>Georgia - Greece BIT (1994)</t>
        </is>
      </c>
      <c r="P250" s="33" t="inlineStr"/>
      <c r="Q250" s="33" t="inlineStr">
        <is>
          <t>Fortier, L. Y. - President; Lowe, V. - Claimant; Watts, A. - Claimant (replaced); Orrego Vicuña, F. - Respondent</t>
        </is>
      </c>
      <c r="R250" s="33" t="inlineStr">
        <is>
          <t>ICSID annulment proceedings</t>
        </is>
      </c>
      <c r="S250" s="33" t="inlineStr">
        <is>
          <t>Discontinued ICSID annulment proceedings</t>
        </is>
      </c>
      <c r="T250" s="33" t="inlineStr">
        <is>
          <t>Indeterminado</t>
        </is>
      </c>
      <c r="U250" s="33" t="inlineStr">
        <is>
          <t>http://www.italaw.com/cases/464</t>
        </is>
      </c>
      <c r="V250" s="33" t="inlineStr">
        <is>
          <t>Sí</t>
        </is>
      </c>
    </row>
    <row r="251">
      <c r="A251" s="32" t="n">
        <v>250</v>
      </c>
      <c r="B251" s="32" t="inlineStr">
        <is>
          <t>Hamester v. Ghana</t>
        </is>
      </c>
      <c r="C251" s="32" t="inlineStr">
        <is>
          <t>Gustav F W Hamester GmbH &amp; Co KG v. Republic of Ghana (ICSID Case No. ARB/07/24)</t>
        </is>
      </c>
      <c r="D251" s="32" t="inlineStr">
        <is>
          <t>Ghana</t>
        </is>
      </c>
      <c r="E251" s="32" t="inlineStr">
        <is>
          <t>África Subsahariana</t>
        </is>
      </c>
      <c r="F251" s="32" t="inlineStr">
        <is>
          <t>Germany</t>
        </is>
      </c>
      <c r="G251" s="32" t="n">
        <v>2007</v>
      </c>
      <c r="H251" s="32" t="inlineStr">
        <is>
          <t>No - ganó el Estado</t>
        </is>
      </c>
      <c r="I251" s="32" t="inlineStr">
        <is>
          <t>No</t>
        </is>
      </c>
      <c r="J251" s="32" t="inlineStr">
        <is>
          <t>TJE - Trato Justo y Equitativo | Expropiación | Protección y Seguridad Plenas | Cláusula Paraguas | Trato Nacional</t>
        </is>
      </c>
      <c r="K251" s="32" t="inlineStr">
        <is>
          <t>100.00 EUR (142.70 USD)</t>
        </is>
      </c>
      <c r="L251" s="32" t="inlineStr"/>
      <c r="M251" s="32" t="inlineStr">
        <is>
          <t>Secondary - C - Manufacturing</t>
        </is>
      </c>
      <c r="N251" s="32" t="inlineStr">
        <is>
          <t>Decreto/Reglamento | Medida legislativa | Incumplimiento contractual | Expropiación de activos</t>
        </is>
      </c>
      <c r="O251" s="32" t="inlineStr">
        <is>
          <t>Germany - Ghana BIT (1995)</t>
        </is>
      </c>
      <c r="P251" s="32" t="inlineStr">
        <is>
          <t>Inversión indirecta (holding)</t>
        </is>
      </c>
      <c r="Q251" s="32" t="inlineStr">
        <is>
          <t>Stern, B. - President; Cremades, B. M. - Claimant; Landau, T. - Respondent</t>
        </is>
      </c>
      <c r="R251" s="32" t="inlineStr"/>
      <c r="S251" s="32" t="inlineStr"/>
      <c r="T251" s="32" t="inlineStr">
        <is>
          <t>Inglés</t>
        </is>
      </c>
      <c r="U251" s="32" t="inlineStr">
        <is>
          <t>http://www.italaw.com/cases/527</t>
        </is>
      </c>
      <c r="V251" s="32" t="inlineStr">
        <is>
          <t>Sí</t>
        </is>
      </c>
    </row>
    <row r="252">
      <c r="A252" s="33" t="n">
        <v>251</v>
      </c>
      <c r="B252" s="33" t="inlineStr">
        <is>
          <t>HOCHTIEF v. Argentina</t>
        </is>
      </c>
      <c r="C252" s="33" t="inlineStr">
        <is>
          <t>HOCHTIEF Aktiengesellschaft v. Argentine Republic (ICSID Case No. ARB/07/31)</t>
        </is>
      </c>
      <c r="D252" s="33" t="inlineStr">
        <is>
          <t>Argentina</t>
        </is>
      </c>
      <c r="E252" s="33" t="inlineStr">
        <is>
          <t>América del Sur</t>
        </is>
      </c>
      <c r="F252" s="33" t="inlineStr">
        <is>
          <t>Germany</t>
        </is>
      </c>
      <c r="G252" s="33" t="n">
        <v>2007</v>
      </c>
      <c r="H252" s="33" t="inlineStr">
        <is>
          <t>Sí con daños</t>
        </is>
      </c>
      <c r="I252" s="33" t="inlineStr">
        <is>
          <t>Sí</t>
        </is>
      </c>
      <c r="J252" s="33" t="inlineStr">
        <is>
          <t>TJE - Trato Justo y Equitativo | Expropiación | Protección y Seguridad Plenas | Cláusula Paraguas</t>
        </is>
      </c>
      <c r="K252" s="33" t="inlineStr">
        <is>
          <t>157.20 USD</t>
        </is>
      </c>
      <c r="L252" s="33" t="inlineStr">
        <is>
          <t>13.40 USD</t>
        </is>
      </c>
      <c r="M252" s="33" t="inlineStr">
        <is>
          <t>Tertiary - F - Construction</t>
        </is>
      </c>
      <c r="N252" s="33" t="inlineStr">
        <is>
          <t>Medidas emergencia económica</t>
        </is>
      </c>
      <c r="O252" s="33" t="inlineStr">
        <is>
          <t>Argentina - Germany BIT (1991)</t>
        </is>
      </c>
      <c r="P252" s="33" t="inlineStr"/>
      <c r="Q252" s="33" t="inlineStr">
        <is>
          <t>Lowe, V. - President; Brower, C. N. - Claimant; Thomas, J. C. - Respondent</t>
        </is>
      </c>
      <c r="R252" s="33" t="inlineStr">
        <is>
          <t>ICSID annulment proceedings</t>
        </is>
      </c>
      <c r="S252" s="33" t="inlineStr">
        <is>
          <t>Pending ICSID annulment proceedings</t>
        </is>
      </c>
      <c r="T252" s="33" t="inlineStr">
        <is>
          <t>Inglés</t>
        </is>
      </c>
      <c r="U252" s="33" t="inlineStr">
        <is>
          <t>http://www.italaw.com/cases/538</t>
        </is>
      </c>
      <c r="V252" s="33" t="inlineStr">
        <is>
          <t>Sí</t>
        </is>
      </c>
    </row>
    <row r="253">
      <c r="A253" s="33" t="n">
        <v>252</v>
      </c>
      <c r="B253" s="33" t="inlineStr">
        <is>
          <t>Impregilo v. Argentina (I)</t>
        </is>
      </c>
      <c r="C253" s="33" t="inlineStr">
        <is>
          <t>Impregilo S.p.A. v. Argentine Republic (I) (ICSID Case No. ARB/07/17)</t>
        </is>
      </c>
      <c r="D253" s="33" t="inlineStr">
        <is>
          <t>Argentina</t>
        </is>
      </c>
      <c r="E253" s="33" t="inlineStr">
        <is>
          <t>América del Sur</t>
        </is>
      </c>
      <c r="F253" s="33" t="inlineStr">
        <is>
          <t>Italy</t>
        </is>
      </c>
      <c r="G253" s="33" t="n">
        <v>2007</v>
      </c>
      <c r="H253" s="33" t="inlineStr">
        <is>
          <t>Sí con daños</t>
        </is>
      </c>
      <c r="I253" s="33" t="inlineStr">
        <is>
          <t>Sí</t>
        </is>
      </c>
      <c r="J253" s="33" t="inlineStr">
        <is>
          <t>Expropiación | NMF</t>
        </is>
      </c>
      <c r="K253" s="33" t="inlineStr">
        <is>
          <t>119.00 USD</t>
        </is>
      </c>
      <c r="L253" s="33" t="inlineStr">
        <is>
          <t>21.29 USD</t>
        </is>
      </c>
      <c r="M253" s="33" t="inlineStr">
        <is>
          <t>Tertiary - E - Water supply; sewerage, waste management and remediation activities;
Tertiary - E - Water supply; sewerage, waste management and remediation activities</t>
        </is>
      </c>
      <c r="N253" s="33" t="inlineStr">
        <is>
          <t>Expropiación recursos naturales</t>
        </is>
      </c>
      <c r="O253" s="33" t="inlineStr">
        <is>
          <t>Argentina - Italy BIT (1990)</t>
        </is>
      </c>
      <c r="P253" s="33" t="inlineStr"/>
      <c r="Q253" s="33" t="inlineStr">
        <is>
          <t>Danelius, H. - President; Brower, C. N. - Claimant; Stern, B. - Respondent</t>
        </is>
      </c>
      <c r="R253" s="33" t="inlineStr">
        <is>
          <t>ICSID annulment proceedings</t>
        </is>
      </c>
      <c r="S253" s="33" t="inlineStr">
        <is>
          <t>Award/decision upheld ICSID annulment proceedings</t>
        </is>
      </c>
      <c r="T253" s="33" t="inlineStr">
        <is>
          <t>Indeterminado</t>
        </is>
      </c>
      <c r="U253" s="33" t="inlineStr">
        <is>
          <t>http://www.italaw.com/cases/554</t>
        </is>
      </c>
      <c r="V253" s="33" t="inlineStr">
        <is>
          <t>Sí</t>
        </is>
      </c>
    </row>
    <row r="254">
      <c r="A254" s="32" t="n">
        <v>253</v>
      </c>
      <c r="B254" s="32" t="inlineStr">
        <is>
          <t>Liman Caspian Oil v. Kazakhstan</t>
        </is>
      </c>
      <c r="C254" s="32" t="inlineStr">
        <is>
          <t>Liman Caspian Oil BV and NCL Dutch Investment BV v. Republic of Kazakhstan (ICSID Case No. ARB/07/14)</t>
        </is>
      </c>
      <c r="D254" s="32" t="inlineStr">
        <is>
          <t>Kazakhstan</t>
        </is>
      </c>
      <c r="E254" s="32" t="inlineStr">
        <is>
          <t>Este Europa/Asia Central</t>
        </is>
      </c>
      <c r="F254" s="32" t="inlineStr">
        <is>
          <t>Netherlands</t>
        </is>
      </c>
      <c r="G254" s="32" t="n">
        <v>2007</v>
      </c>
      <c r="H254" s="32" t="inlineStr">
        <is>
          <t>No - ganó el Estado</t>
        </is>
      </c>
      <c r="I254" s="32" t="inlineStr">
        <is>
          <t>No</t>
        </is>
      </c>
      <c r="J254" s="32" t="inlineStr">
        <is>
          <t>Expropiación | Cláusula Paraguas</t>
        </is>
      </c>
      <c r="K254" s="32" t="inlineStr">
        <is>
          <t>200.00 USD</t>
        </is>
      </c>
      <c r="L254" s="32" t="inlineStr"/>
      <c r="M254" s="32" t="inlineStr">
        <is>
          <t>Primary - B - Mining and quarrying</t>
        </is>
      </c>
      <c r="N254" s="32" t="inlineStr">
        <is>
          <t>Expropiación recursos naturales</t>
        </is>
      </c>
      <c r="O254" s="32" t="inlineStr">
        <is>
          <t>The Energy Charter Treaty (1994)</t>
        </is>
      </c>
      <c r="P254" s="32" t="inlineStr">
        <is>
          <t>100% (wholly owned)</t>
        </is>
      </c>
      <c r="Q254" s="32" t="inlineStr">
        <is>
          <t>Böckstiegel, K.-H. - President; Hobér, K. - Claimant; Crawford, J. R. - Respondent</t>
        </is>
      </c>
      <c r="R254" s="32" t="inlineStr"/>
      <c r="S254" s="32" t="inlineStr"/>
      <c r="T254" s="32" t="inlineStr">
        <is>
          <t>Indeterminado</t>
        </is>
      </c>
      <c r="U254" s="32" t="inlineStr">
        <is>
          <t>http://www.italaw.com/cases/1977</t>
        </is>
      </c>
      <c r="V254" s="32" t="inlineStr">
        <is>
          <t>Sí</t>
        </is>
      </c>
    </row>
    <row r="255">
      <c r="A255" s="33" t="n">
        <v>254</v>
      </c>
      <c r="B255" s="33" t="inlineStr">
        <is>
          <t>Mobil and Murphy v. Canada (I)</t>
        </is>
      </c>
      <c r="C255" s="33" t="inlineStr">
        <is>
          <t>Mobil Investments Canada Inc. and Murphy Oil Corporation v. Government of Canada (I) (ICSID Case No. ARB(AF)/07/4)</t>
        </is>
      </c>
      <c r="D255" s="33" t="inlineStr">
        <is>
          <t>Canada</t>
        </is>
      </c>
      <c r="E255" s="33" t="inlineStr">
        <is>
          <t>América del Norte</t>
        </is>
      </c>
      <c r="F255" s="33" t="inlineStr">
        <is>
          <t>United States of America</t>
        </is>
      </c>
      <c r="G255" s="33" t="n">
        <v>2007</v>
      </c>
      <c r="H255" s="33" t="inlineStr">
        <is>
          <t>Sí con daños</t>
        </is>
      </c>
      <c r="I255" s="33" t="inlineStr">
        <is>
          <t>Sí</t>
        </is>
      </c>
      <c r="J255" s="33" t="inlineStr">
        <is>
          <t>Expropiación</t>
        </is>
      </c>
      <c r="K255" s="33" t="inlineStr">
        <is>
          <t>60.00 CAD (59.10 USD)</t>
        </is>
      </c>
      <c r="L255" s="33" t="inlineStr">
        <is>
          <t>17.30 CAD (13.90 USD)</t>
        </is>
      </c>
      <c r="M255" s="33" t="inlineStr">
        <is>
          <t>Primary - B - Mining and quarrying</t>
        </is>
      </c>
      <c r="N255" s="33" t="inlineStr">
        <is>
          <t>Decreto/Reglamento | Medida legislativa | Revocación de licencia</t>
        </is>
      </c>
      <c r="O255" s="33" t="inlineStr">
        <is>
          <t>NAFTA (1992)</t>
        </is>
      </c>
      <c r="P255" s="33" t="inlineStr"/>
      <c r="Q255" s="33" t="inlineStr">
        <is>
          <t>van Houtte, H. - President; Janow, M. - Claimant; Sands, P. - Respondent</t>
        </is>
      </c>
      <c r="R255" s="33" t="inlineStr">
        <is>
          <t>Judicial review by national courts</t>
        </is>
      </c>
      <c r="S255" s="33" t="inlineStr">
        <is>
          <t>Award/decision upheld Judicial review by national courts</t>
        </is>
      </c>
      <c r="T255" s="33" t="inlineStr">
        <is>
          <t>Inglés</t>
        </is>
      </c>
      <c r="U255" s="33" t="inlineStr">
        <is>
          <t>http://www.italaw.com/cases/1225</t>
        </is>
      </c>
      <c r="V255" s="33" t="inlineStr">
        <is>
          <t>Sí</t>
        </is>
      </c>
    </row>
    <row r="256">
      <c r="A256" s="33" t="n">
        <v>255</v>
      </c>
      <c r="B256" s="33" t="inlineStr">
        <is>
          <t>Mobil and others v. Venezuela</t>
        </is>
      </c>
      <c r="C256" s="33" t="inlineStr">
        <is>
          <t>Mobil Cerro Negro Holding, Ltd., Mobil Cerro Negro, Ltd., Mobil Corporation and others v. Bolivarian Republic of Venezuela (ICSID Case No. ARB/07/27)</t>
        </is>
      </c>
      <c r="D256" s="33" t="inlineStr">
        <is>
          <t>Venezuela, Bolivarian Republic of</t>
        </is>
      </c>
      <c r="E256" s="33" t="inlineStr">
        <is>
          <t>América del Sur</t>
        </is>
      </c>
      <c r="F256" s="33" t="inlineStr">
        <is>
          <t>Bahamas;
United States of America;
Netherlands</t>
        </is>
      </c>
      <c r="G256" s="33" t="n">
        <v>2007</v>
      </c>
      <c r="H256" s="33" t="inlineStr">
        <is>
          <t>Sí con daños</t>
        </is>
      </c>
      <c r="I256" s="33" t="inlineStr">
        <is>
          <t>Sí</t>
        </is>
      </c>
      <c r="J256" s="33" t="inlineStr">
        <is>
          <t>TJE - Trato Justo y Equitativo | Expropiación | NMF</t>
        </is>
      </c>
      <c r="K256" s="33" t="inlineStr">
        <is>
          <t>14679.00 USD</t>
        </is>
      </c>
      <c r="L256" s="33" t="inlineStr">
        <is>
          <t>1600.00 USD</t>
        </is>
      </c>
      <c r="M256" s="33" t="inlineStr">
        <is>
          <t>Primary - B - Mining and quarrying</t>
        </is>
      </c>
      <c r="N256" s="33" t="inlineStr">
        <is>
          <t>Nacionalización | Expropiación recursos naturales</t>
        </is>
      </c>
      <c r="O256" s="33" t="inlineStr">
        <is>
          <t>Netherlands - Venezuela, Bolivarian Republic of BIT (1991)</t>
        </is>
      </c>
      <c r="P256" s="33" t="inlineStr"/>
      <c r="Q256" s="33" t="inlineStr">
        <is>
          <t>Guillaume, G. - President; Kaufmann-Kohler, G. - Claimant; El-Kosheri, A. S. - Respondent</t>
        </is>
      </c>
      <c r="R256" s="33" t="inlineStr">
        <is>
          <t>ICSID annulment proceedings;
ICSID resubmission proceedings</t>
        </is>
      </c>
      <c r="S256" s="33" t="inlineStr">
        <is>
          <t>Award/decision partially annulled ICSID annulment proceedings;
Decided in favour of the investor ICSID resubmission proceedings</t>
        </is>
      </c>
      <c r="T256" s="33" t="inlineStr">
        <is>
          <t>Indeterminado</t>
        </is>
      </c>
      <c r="U256" s="33" t="inlineStr">
        <is>
          <t>http://www.italaw.com/cases/713</t>
        </is>
      </c>
      <c r="V256" s="33" t="inlineStr">
        <is>
          <t>Sí</t>
        </is>
      </c>
    </row>
    <row r="257">
      <c r="A257" s="32" t="n">
        <v>256</v>
      </c>
      <c r="B257" s="32" t="inlineStr">
        <is>
          <t>Pantechniki v. Albania</t>
        </is>
      </c>
      <c r="C257" s="32" t="inlineStr">
        <is>
          <t>Pantechniki S.A. Contractors &amp; Engineers v. Republic of Albania (ICSID Case No. ARB/07/21)</t>
        </is>
      </c>
      <c r="D257" s="32" t="inlineStr">
        <is>
          <t>Albania</t>
        </is>
      </c>
      <c r="E257" s="32" t="inlineStr">
        <is>
          <t>Europa Occidental</t>
        </is>
      </c>
      <c r="F257" s="32" t="inlineStr">
        <is>
          <t>Greece</t>
        </is>
      </c>
      <c r="G257" s="32" t="n">
        <v>2007</v>
      </c>
      <c r="H257" s="32" t="inlineStr">
        <is>
          <t>No - ganó el Estado</t>
        </is>
      </c>
      <c r="I257" s="32" t="inlineStr">
        <is>
          <t>No</t>
        </is>
      </c>
      <c r="J257" s="32" t="inlineStr">
        <is>
          <t>TJE - Trato Justo y Equitativo | Protección y Seguridad Plenas | Cláusula Paraguas</t>
        </is>
      </c>
      <c r="K257" s="32" t="inlineStr">
        <is>
          <t>2.00 USD</t>
        </is>
      </c>
      <c r="L257" s="32" t="inlineStr"/>
      <c r="M257" s="32" t="inlineStr">
        <is>
          <t>Tertiary - F - Construction</t>
        </is>
      </c>
      <c r="N257" s="32" t="inlineStr"/>
      <c r="O257" s="32" t="inlineStr">
        <is>
          <t>Albania - Greece BIT (1991)</t>
        </is>
      </c>
      <c r="P257" s="32" t="inlineStr"/>
      <c r="Q257" s="32" t="inlineStr">
        <is>
          <t>Paulsson, J. - Sole arbitrator</t>
        </is>
      </c>
      <c r="R257" s="32" t="inlineStr"/>
      <c r="S257" s="32" t="inlineStr"/>
      <c r="T257" s="32" t="inlineStr">
        <is>
          <t>Indeterminado</t>
        </is>
      </c>
      <c r="U257" s="32" t="inlineStr">
        <is>
          <t>http://www.italaw.com/cases/810</t>
        </is>
      </c>
      <c r="V257" s="32" t="inlineStr">
        <is>
          <t>Sí</t>
        </is>
      </c>
    </row>
    <row r="258">
      <c r="A258" s="33" t="n">
        <v>257</v>
      </c>
      <c r="B258" s="33" t="inlineStr">
        <is>
          <t>RDV v. Guatemala</t>
        </is>
      </c>
      <c r="C258" s="33" t="inlineStr">
        <is>
          <t>Railroad Development Corporation (RDC) v. Republic of Guatemala (ICSID Case No. ARB/07/23)</t>
        </is>
      </c>
      <c r="D258" s="33" t="inlineStr">
        <is>
          <t>Guatemala</t>
        </is>
      </c>
      <c r="E258" s="33" t="inlineStr">
        <is>
          <t>América Central/Caribe</t>
        </is>
      </c>
      <c r="F258" s="33" t="inlineStr">
        <is>
          <t>United States of America</t>
        </is>
      </c>
      <c r="G258" s="33" t="n">
        <v>2007</v>
      </c>
      <c r="H258" s="33" t="inlineStr">
        <is>
          <t>Sí con daños</t>
        </is>
      </c>
      <c r="I258" s="33" t="inlineStr">
        <is>
          <t>Sí</t>
        </is>
      </c>
      <c r="J258" s="33" t="inlineStr">
        <is>
          <t>Expropiación | Protección y Seguridad Plenas</t>
        </is>
      </c>
      <c r="K258" s="33" t="inlineStr">
        <is>
          <t>64.00 USD</t>
        </is>
      </c>
      <c r="L258" s="33" t="inlineStr">
        <is>
          <t>11.30 USD</t>
        </is>
      </c>
      <c r="M258" s="33" t="inlineStr">
        <is>
          <t>Tertiary - F - Construction</t>
        </is>
      </c>
      <c r="N258" s="33" t="inlineStr"/>
      <c r="O258" s="33" t="inlineStr">
        <is>
          <t>CAFTA - DR (2004)</t>
        </is>
      </c>
      <c r="P258" s="33" t="inlineStr"/>
      <c r="Q258" s="33" t="inlineStr">
        <is>
          <t>Rigo Sureda, A. - President; Eizenstat, S. E. - Claimant; Crawford, J. R. - Respondent</t>
        </is>
      </c>
      <c r="R258" s="33" t="inlineStr"/>
      <c r="S258" s="33" t="inlineStr"/>
      <c r="T258" s="33" t="inlineStr">
        <is>
          <t>Inglés</t>
        </is>
      </c>
      <c r="U258" s="33" t="inlineStr">
        <is>
          <t>http://www.italaw.com/cases/887</t>
        </is>
      </c>
      <c r="V258" s="33" t="inlineStr">
        <is>
          <t>Sí</t>
        </is>
      </c>
    </row>
    <row r="259">
      <c r="A259" s="32" t="n">
        <v>258</v>
      </c>
      <c r="B259" s="32" t="inlineStr">
        <is>
          <t>Saba Fakes v. Turkey</t>
        </is>
      </c>
      <c r="C259" s="32" t="inlineStr">
        <is>
          <t>Saba Fakes v. Republic of Turkey (ICSID Case No. ARB/07/20)</t>
        </is>
      </c>
      <c r="D259" s="32" t="inlineStr">
        <is>
          <t>Türkiye</t>
        </is>
      </c>
      <c r="E259" s="32" t="inlineStr">
        <is>
          <t>Sin clasificar</t>
        </is>
      </c>
      <c r="F259" s="32" t="inlineStr">
        <is>
          <t>Netherlands</t>
        </is>
      </c>
      <c r="G259" s="32" t="n">
        <v>2007</v>
      </c>
      <c r="H259" s="32" t="inlineStr">
        <is>
          <t>No - ganó el Estado</t>
        </is>
      </c>
      <c r="I259" s="32" t="inlineStr">
        <is>
          <t>No</t>
        </is>
      </c>
      <c r="J259" s="32" t="inlineStr">
        <is>
          <t>Expropiación</t>
        </is>
      </c>
      <c r="K259" s="32" t="inlineStr">
        <is>
          <t>19000.00 USD</t>
        </is>
      </c>
      <c r="L259" s="32" t="inlineStr"/>
      <c r="M259" s="32" t="inlineStr">
        <is>
          <t>Tertiary - J - Information and communication</t>
        </is>
      </c>
      <c r="N259" s="32" t="inlineStr">
        <is>
          <t>Decreto/Reglamento | Medida legislativa | Incumplimiento contractual | Expropiación de activos | Revocación de licencia</t>
        </is>
      </c>
      <c r="O259" s="32" t="inlineStr">
        <is>
          <t>Netherlands - Turkey BIT (1986)</t>
        </is>
      </c>
      <c r="P259" s="32" t="inlineStr">
        <is>
          <t>Inversión indirecta (holding)</t>
        </is>
      </c>
      <c r="Q259" s="32" t="inlineStr">
        <is>
          <t>Gaillard, E. - President; van Houtte, H. - Claimant; Lévy, L. - Respondent</t>
        </is>
      </c>
      <c r="R259" s="32" t="inlineStr"/>
      <c r="S259" s="32" t="inlineStr"/>
      <c r="T259" s="32" t="inlineStr">
        <is>
          <t>Inglés</t>
        </is>
      </c>
      <c r="U259" s="32" t="inlineStr">
        <is>
          <t>http://www.italaw.com/cases/429</t>
        </is>
      </c>
      <c r="V259" s="32" t="inlineStr">
        <is>
          <t>Sí</t>
        </is>
      </c>
    </row>
    <row r="260">
      <c r="A260" s="33" t="n">
        <v>259</v>
      </c>
      <c r="B260" s="33" t="inlineStr">
        <is>
          <t>SGS v. Paraguay</t>
        </is>
      </c>
      <c r="C260" s="33" t="inlineStr">
        <is>
          <t>SGS Société Générale de Surveillance S.A. v. Republic of Paraguay (ICSID Case No. ARB/07/29)</t>
        </is>
      </c>
      <c r="D260" s="33" t="inlineStr">
        <is>
          <t>Paraguay</t>
        </is>
      </c>
      <c r="E260" s="33" t="inlineStr">
        <is>
          <t>América del Sur</t>
        </is>
      </c>
      <c r="F260" s="33" t="inlineStr">
        <is>
          <t>Switzerland</t>
        </is>
      </c>
      <c r="G260" s="33" t="n">
        <v>2007</v>
      </c>
      <c r="H260" s="33" t="inlineStr">
        <is>
          <t>Sí con daños</t>
        </is>
      </c>
      <c r="I260" s="33" t="inlineStr">
        <is>
          <t>Sí</t>
        </is>
      </c>
      <c r="J260" s="33" t="inlineStr"/>
      <c r="K260" s="33" t="inlineStr">
        <is>
          <t>61.50 USD</t>
        </is>
      </c>
      <c r="L260" s="33" t="inlineStr">
        <is>
          <t>39.00 USD</t>
        </is>
      </c>
      <c r="M260" s="33" t="inlineStr">
        <is>
          <t>Tertiary - M - Professional, scientific and technical activities</t>
        </is>
      </c>
      <c r="N260" s="33" t="inlineStr">
        <is>
          <t>Rescisión/terminación de contrato | Medida fiscal/impositiva</t>
        </is>
      </c>
      <c r="O260" s="33" t="inlineStr">
        <is>
          <t>Paraguay - Switzerland BIT (1992)</t>
        </is>
      </c>
      <c r="P260" s="33" t="inlineStr"/>
      <c r="Q260" s="33" t="inlineStr">
        <is>
          <t>Alexandrov, S. A. - President; Donovan, D. - Claimant; García Mexía, P. - Respondent</t>
        </is>
      </c>
      <c r="R260" s="33" t="inlineStr">
        <is>
          <t>ICSID annulment proceedings</t>
        </is>
      </c>
      <c r="S260" s="33" t="inlineStr">
        <is>
          <t>Award/decision upheld ICSID annulment proceedings</t>
        </is>
      </c>
      <c r="T260" s="33" t="inlineStr">
        <is>
          <t>Indeterminado</t>
        </is>
      </c>
      <c r="U260" s="33" t="inlineStr">
        <is>
          <t>http://www.italaw.com/cases/1016</t>
        </is>
      </c>
      <c r="V260" s="33" t="inlineStr">
        <is>
          <t>Sí</t>
        </is>
      </c>
    </row>
    <row r="261">
      <c r="A261" s="32" t="n">
        <v>260</v>
      </c>
      <c r="B261" s="32" t="inlineStr">
        <is>
          <t>Toto v. Lebanon</t>
        </is>
      </c>
      <c r="C261" s="32" t="inlineStr">
        <is>
          <t>Toto Costruzioni Generali S.p.A. v. Republic of Lebanon (ICSID Case No. ARB/07/12)</t>
        </is>
      </c>
      <c r="D261" s="32" t="inlineStr">
        <is>
          <t>Lebanon</t>
        </is>
      </c>
      <c r="E261" s="32" t="inlineStr">
        <is>
          <t>Medio Oriente/Norte África</t>
        </is>
      </c>
      <c r="F261" s="32" t="inlineStr">
        <is>
          <t>Italy</t>
        </is>
      </c>
      <c r="G261" s="32" t="n">
        <v>2007</v>
      </c>
      <c r="H261" s="32" t="inlineStr">
        <is>
          <t>No - ganó el Estado</t>
        </is>
      </c>
      <c r="I261" s="32" t="inlineStr">
        <is>
          <t>No</t>
        </is>
      </c>
      <c r="J261" s="32" t="inlineStr">
        <is>
          <t>Cláusula Paraguas</t>
        </is>
      </c>
      <c r="K261" s="32" t="inlineStr">
        <is>
          <t>33.00 USD</t>
        </is>
      </c>
      <c r="L261" s="32" t="inlineStr"/>
      <c r="M261" s="32" t="inlineStr">
        <is>
          <t>Tertiary - F - Construction</t>
        </is>
      </c>
      <c r="N261" s="32" t="inlineStr"/>
      <c r="O261" s="32" t="inlineStr">
        <is>
          <t>Italy - Lebanon BIT (1997)</t>
        </is>
      </c>
      <c r="P261" s="32" t="inlineStr"/>
      <c r="Q261" s="32" t="inlineStr">
        <is>
          <t>van Houtte, H. - President; Schwebel, S. M. - Claimant; Feliciani, A. - Claimant (replaced); Moghaizel, F. - Respondent</t>
        </is>
      </c>
      <c r="R261" s="32" t="inlineStr">
        <is>
          <t>ICSID annulment proceedings</t>
        </is>
      </c>
      <c r="S261" s="32" t="inlineStr">
        <is>
          <t>Discontinued ICSID annulment proceedings</t>
        </is>
      </c>
      <c r="T261" s="32" t="inlineStr">
        <is>
          <t>Indeterminado</t>
        </is>
      </c>
      <c r="U261" s="32" t="inlineStr">
        <is>
          <t>http://www.italaw.com/cases/1108</t>
        </is>
      </c>
      <c r="V261" s="32" t="inlineStr">
        <is>
          <t>Sí</t>
        </is>
      </c>
    </row>
    <row r="262">
      <c r="A262" s="33" t="n">
        <v>261</v>
      </c>
      <c r="B262" s="33" t="inlineStr">
        <is>
          <t>Tza Yap Shum v. Peru</t>
        </is>
      </c>
      <c r="C262" s="33" t="inlineStr">
        <is>
          <t>Tza Yap Shum v. Republic of Peru (ICSID Case No. ARB/07/6)</t>
        </is>
      </c>
      <c r="D262" s="33" t="inlineStr">
        <is>
          <t>Peru</t>
        </is>
      </c>
      <c r="E262" s="33" t="inlineStr">
        <is>
          <t>América del Sur</t>
        </is>
      </c>
      <c r="F262" s="33" t="inlineStr">
        <is>
          <t>China</t>
        </is>
      </c>
      <c r="G262" s="33" t="n">
        <v>2007</v>
      </c>
      <c r="H262" s="33" t="inlineStr">
        <is>
          <t>Sí con daños</t>
        </is>
      </c>
      <c r="I262" s="33" t="inlineStr">
        <is>
          <t>Sí</t>
        </is>
      </c>
      <c r="J262" s="33" t="inlineStr">
        <is>
          <t>Expropiación</t>
        </is>
      </c>
      <c r="K262" s="33" t="inlineStr">
        <is>
          <t>71.50 PEN (25.80 USD)</t>
        </is>
      </c>
      <c r="L262" s="33" t="inlineStr">
        <is>
          <t>0.78 USD</t>
        </is>
      </c>
      <c r="M262" s="33" t="inlineStr">
        <is>
          <t>Secondary - C - Manufacturing</t>
        </is>
      </c>
      <c r="N262" s="33" t="inlineStr"/>
      <c r="O262" s="33" t="inlineStr">
        <is>
          <t>China - Peru BIT (1994)</t>
        </is>
      </c>
      <c r="P262" s="33" t="inlineStr">
        <is>
          <t>90% share</t>
        </is>
      </c>
      <c r="Q262" s="33" t="inlineStr">
        <is>
          <t>Kessler, J. L. - President; Otero, H. - Claimant; Fernández-Armesto, J. - Respondent</t>
        </is>
      </c>
      <c r="R262" s="33" t="inlineStr">
        <is>
          <t>ICSID annulment proceedings</t>
        </is>
      </c>
      <c r="S262" s="33" t="inlineStr">
        <is>
          <t>Award/decision upheld ICSID annulment proceedings</t>
        </is>
      </c>
      <c r="T262" s="33" t="inlineStr">
        <is>
          <t>Indeterminado</t>
        </is>
      </c>
      <c r="U262" s="33" t="inlineStr">
        <is>
          <t>http://www.italaw.com/cases/1126</t>
        </is>
      </c>
      <c r="V262" s="33" t="inlineStr">
        <is>
          <t>Sí</t>
        </is>
      </c>
    </row>
    <row r="263">
      <c r="A263" s="34" t="n">
        <v>262</v>
      </c>
      <c r="B263" s="34" t="inlineStr">
        <is>
          <t>Urbaser and CABB v. Argentina</t>
        </is>
      </c>
      <c r="C263" s="34" t="inlineStr">
        <is>
          <t>Urbaser S.A. and Consorcio de Aguas Bilbao Biskaia, Bilbao Biskaia Ur Partzuergoa v. Argentine Republic (ICSID Case No. ARB/07/26)</t>
        </is>
      </c>
      <c r="D263" s="34" t="inlineStr">
        <is>
          <t>Argentina</t>
        </is>
      </c>
      <c r="E263" s="34" t="inlineStr">
        <is>
          <t>América del Sur</t>
        </is>
      </c>
      <c r="F263" s="34" t="inlineStr">
        <is>
          <t>Spain</t>
        </is>
      </c>
      <c r="G263" s="34" t="n">
        <v>2007</v>
      </c>
      <c r="H263" s="34" t="inlineStr">
        <is>
          <t>Sí sin daños</t>
        </is>
      </c>
      <c r="I263" s="34" t="inlineStr">
        <is>
          <t>Sí</t>
        </is>
      </c>
      <c r="J263" s="34" t="inlineStr">
        <is>
          <t>TJE - Trato Justo y Equitativo | Expropiación</t>
        </is>
      </c>
      <c r="K263" s="34" t="inlineStr">
        <is>
          <t>211.20 USD</t>
        </is>
      </c>
      <c r="L263" s="34" t="inlineStr">
        <is>
          <t>0.00 USD</t>
        </is>
      </c>
      <c r="M263" s="34" t="inlineStr">
        <is>
          <t>Tertiary - E - Water supply; sewerage, waste management and remediation activities;
Tertiary - E - Water supply; sewerage, waste management and remediation activities</t>
        </is>
      </c>
      <c r="N263" s="34" t="inlineStr">
        <is>
          <t>Rescisión/terminación de contrato</t>
        </is>
      </c>
      <c r="O263" s="34" t="inlineStr">
        <is>
          <t>Argentina - Spain BIT (1991)</t>
        </is>
      </c>
      <c r="P263" s="34" t="inlineStr"/>
      <c r="Q263" s="34" t="inlineStr">
        <is>
          <t>Bucher, A. - President; Martínez-Fraga, P. J. - Claimant; McLachlan, C. A. - Respondent; Brownlie, I. - Respondent (replaced)</t>
        </is>
      </c>
      <c r="R263" s="34" t="inlineStr"/>
      <c r="S263" s="34" t="inlineStr"/>
      <c r="T263" s="34" t="inlineStr">
        <is>
          <t>Inglés</t>
        </is>
      </c>
      <c r="U263" s="34" t="inlineStr">
        <is>
          <t>http://www.italaw.com/cases/1144</t>
        </is>
      </c>
      <c r="V263" s="34" t="inlineStr">
        <is>
          <t>Sí</t>
        </is>
      </c>
    </row>
    <row r="264">
      <c r="A264" s="32" t="n">
        <v>263</v>
      </c>
      <c r="B264" s="32" t="inlineStr">
        <is>
          <t>Azpetrol v. Azerbaijan</t>
        </is>
      </c>
      <c r="C264" s="32" t="inlineStr">
        <is>
          <t>Azpetrol International Holdings B.V., Azpetrol Group B.V. and Azpetrol Oil Services Group B.V. v. Republic of Azerbaijan (ICSID Case No. ARB/06/15)</t>
        </is>
      </c>
      <c r="D264" s="32" t="inlineStr">
        <is>
          <t>Azerbaijan</t>
        </is>
      </c>
      <c r="E264" s="32" t="inlineStr">
        <is>
          <t>Este Europa/Asia Central</t>
        </is>
      </c>
      <c r="F264" s="32" t="inlineStr">
        <is>
          <t>Netherlands</t>
        </is>
      </c>
      <c r="G264" s="32" t="n">
        <v>2006</v>
      </c>
      <c r="H264" s="32" t="inlineStr">
        <is>
          <t>No - ganó el Estado</t>
        </is>
      </c>
      <c r="I264" s="32" t="inlineStr">
        <is>
          <t>No</t>
        </is>
      </c>
      <c r="J264" s="32" t="inlineStr">
        <is>
          <t>Expropiación</t>
        </is>
      </c>
      <c r="K264" s="32" t="inlineStr">
        <is>
          <t>300.00 USD</t>
        </is>
      </c>
      <c r="L264" s="32" t="inlineStr"/>
      <c r="M264" s="32" t="inlineStr">
        <is>
          <t>Tertiary - D - Electricity, gas, steam and air conditioning supply;
Tertiary - H - Transportation and storage;
Tertiary - H - Transportation and storage</t>
        </is>
      </c>
      <c r="N264" s="32" t="inlineStr"/>
      <c r="O264" s="32" t="inlineStr">
        <is>
          <t>The Energy Charter Treaty (1994)</t>
        </is>
      </c>
      <c r="P264" s="32" t="inlineStr"/>
      <c r="Q264" s="32" t="inlineStr">
        <is>
          <t>Feliciano, F. P. - President; Watts, A. - President (replaced); Brower, C. N. - Claimant; Greenwood, C. - Respondent</t>
        </is>
      </c>
      <c r="R264" s="32" t="inlineStr"/>
      <c r="S264" s="32" t="inlineStr"/>
      <c r="T264" s="32" t="inlineStr">
        <is>
          <t>Inglés</t>
        </is>
      </c>
      <c r="U264" s="32" t="inlineStr">
        <is>
          <t>http://www.italaw.com/cases/116</t>
        </is>
      </c>
      <c r="V264" s="32" t="inlineStr">
        <is>
          <t>Sí</t>
        </is>
      </c>
    </row>
    <row r="265">
      <c r="A265" s="32" t="n">
        <v>264</v>
      </c>
      <c r="B265" s="32" t="inlineStr">
        <is>
          <t>Cementownia v. Turkey (I)</t>
        </is>
      </c>
      <c r="C265" s="32" t="inlineStr">
        <is>
          <t>Cementownia “Nowa Huta” S.A. v. Republic of Turkey (I) (ICSID Case No. ARB(AF)/06/2)</t>
        </is>
      </c>
      <c r="D265" s="32" t="inlineStr">
        <is>
          <t>Türkiye</t>
        </is>
      </c>
      <c r="E265" s="32" t="inlineStr">
        <is>
          <t>Sin clasificar</t>
        </is>
      </c>
      <c r="F265" s="32" t="inlineStr">
        <is>
          <t>Poland</t>
        </is>
      </c>
      <c r="G265" s="32" t="n">
        <v>2006</v>
      </c>
      <c r="H265" s="32" t="inlineStr">
        <is>
          <t>No - ganó el Estado</t>
        </is>
      </c>
      <c r="I265" s="32" t="inlineStr">
        <is>
          <t>No</t>
        </is>
      </c>
      <c r="J265" s="32" t="inlineStr">
        <is>
          <t>Expropiación</t>
        </is>
      </c>
      <c r="K265" s="32" t="inlineStr">
        <is>
          <t>4648.00 USD</t>
        </is>
      </c>
      <c r="L265" s="32" t="inlineStr"/>
      <c r="M265" s="32" t="inlineStr">
        <is>
          <t>Tertiary - D - Electricity, gas, steam and air conditioning supply</t>
        </is>
      </c>
      <c r="N265" s="32" t="inlineStr"/>
      <c r="O265" s="32" t="inlineStr">
        <is>
          <t>The Energy Charter Treaty (1994)</t>
        </is>
      </c>
      <c r="P265" s="32" t="inlineStr"/>
      <c r="Q265" s="32" t="inlineStr">
        <is>
          <t>Tercier, P. - President; Lalonde, M. - Claimant; Thomas, J. C. - Respondent</t>
        </is>
      </c>
      <c r="R265" s="32" t="inlineStr"/>
      <c r="S265" s="32" t="inlineStr"/>
      <c r="T265" s="32" t="inlineStr">
        <is>
          <t>Inglés</t>
        </is>
      </c>
      <c r="U265" s="32" t="inlineStr">
        <is>
          <t>http://www.italaw.com/cases/228</t>
        </is>
      </c>
      <c r="V265" s="32" t="inlineStr">
        <is>
          <t>Sí</t>
        </is>
      </c>
    </row>
    <row r="266">
      <c r="A266" s="33" t="n">
        <v>265</v>
      </c>
      <c r="B266" s="33" t="inlineStr">
        <is>
          <t>Lemire v. Ukraine (II)</t>
        </is>
      </c>
      <c r="C266" s="33" t="inlineStr">
        <is>
          <t>Joseph Charles Lemire v. Ukraine (ICSID Case No. ARB/06/18)</t>
        </is>
      </c>
      <c r="D266" s="33" t="inlineStr">
        <is>
          <t>Ukraine</t>
        </is>
      </c>
      <c r="E266" s="33" t="inlineStr">
        <is>
          <t>Este Europa/Asia Central</t>
        </is>
      </c>
      <c r="F266" s="33" t="inlineStr">
        <is>
          <t>United States of America</t>
        </is>
      </c>
      <c r="G266" s="33" t="n">
        <v>2006</v>
      </c>
      <c r="H266" s="33" t="inlineStr">
        <is>
          <t>Sí con daños</t>
        </is>
      </c>
      <c r="I266" s="33" t="inlineStr">
        <is>
          <t>Sí</t>
        </is>
      </c>
      <c r="J266" s="33" t="inlineStr">
        <is>
          <t>TJE - Trato Justo y Equitativo | Cláusula Paraguas | Trato Nacional</t>
        </is>
      </c>
      <c r="K266" s="33" t="inlineStr">
        <is>
          <t>46.60 USD</t>
        </is>
      </c>
      <c r="L266" s="33" t="inlineStr">
        <is>
          <t>8.70 USD</t>
        </is>
      </c>
      <c r="M266" s="33" t="inlineStr">
        <is>
          <t>Tertiary - J - Information and communication</t>
        </is>
      </c>
      <c r="N266" s="33" t="inlineStr"/>
      <c r="O266" s="33" t="inlineStr">
        <is>
          <t>Ukraine - United States of America BIT (1994)</t>
        </is>
      </c>
      <c r="P266" s="33" t="inlineStr"/>
      <c r="Q266" s="33" t="inlineStr">
        <is>
          <t>Fernández-Armesto, J. - President; Paulsson, J. - Claimant; Voss, J. - Respondent</t>
        </is>
      </c>
      <c r="R266" s="33" t="inlineStr">
        <is>
          <t>ICSID annulment proceedings</t>
        </is>
      </c>
      <c r="S266" s="33" t="inlineStr">
        <is>
          <t>Award/decision upheld ICSID annulment proceedings</t>
        </is>
      </c>
      <c r="T266" s="33" t="inlineStr">
        <is>
          <t>Indeterminado</t>
        </is>
      </c>
      <c r="U266" s="33" t="inlineStr">
        <is>
          <t>http://www.italaw.com/cases/614</t>
        </is>
      </c>
      <c r="V266" s="33" t="inlineStr">
        <is>
          <t>Sí</t>
        </is>
      </c>
    </row>
    <row r="267">
      <c r="A267" s="32" t="n">
        <v>266</v>
      </c>
      <c r="B267" s="32" t="inlineStr">
        <is>
          <t>Libananco v. Turkey</t>
        </is>
      </c>
      <c r="C267" s="32" t="inlineStr">
        <is>
          <t>Libananco Holdings Co. Limited v. Republic of Turkey (ICSID Case No. ARB/06/8)</t>
        </is>
      </c>
      <c r="D267" s="32" t="inlineStr">
        <is>
          <t>Türkiye</t>
        </is>
      </c>
      <c r="E267" s="32" t="inlineStr">
        <is>
          <t>Sin clasificar</t>
        </is>
      </c>
      <c r="F267" s="32" t="inlineStr">
        <is>
          <t>Cyprus</t>
        </is>
      </c>
      <c r="G267" s="32" t="n">
        <v>2006</v>
      </c>
      <c r="H267" s="32" t="inlineStr">
        <is>
          <t>No - ganó el Estado</t>
        </is>
      </c>
      <c r="I267" s="32" t="inlineStr">
        <is>
          <t>No</t>
        </is>
      </c>
      <c r="J267" s="32" t="inlineStr"/>
      <c r="K267" s="32" t="inlineStr">
        <is>
          <t>10000.00 USD</t>
        </is>
      </c>
      <c r="L267" s="32" t="inlineStr"/>
      <c r="M267" s="32" t="inlineStr">
        <is>
          <t>Tertiary - D - Electricity, gas, steam and air conditioning supply</t>
        </is>
      </c>
      <c r="N267" s="32" t="inlineStr"/>
      <c r="O267" s="32" t="inlineStr">
        <is>
          <t>The Energy Charter Treaty (1994)</t>
        </is>
      </c>
      <c r="P267" s="32" t="inlineStr"/>
      <c r="Q267" s="32" t="inlineStr">
        <is>
          <t>Hwang, M. - President; Álvarez, H. C. - Claimant; Berman, F. - Respondent</t>
        </is>
      </c>
      <c r="R267" s="32" t="inlineStr">
        <is>
          <t>ICSID annulment proceedings</t>
        </is>
      </c>
      <c r="S267" s="32" t="inlineStr">
        <is>
          <t>Award/decision upheld ICSID annulment proceedings</t>
        </is>
      </c>
      <c r="T267" s="32" t="inlineStr">
        <is>
          <t>Inglés</t>
        </is>
      </c>
      <c r="U267" s="32" t="inlineStr">
        <is>
          <t>http://www.italaw.com/cases/626</t>
        </is>
      </c>
      <c r="V267" s="32" t="inlineStr">
        <is>
          <t>Sí</t>
        </is>
      </c>
    </row>
    <row r="268">
      <c r="A268" s="32" t="n">
        <v>267</v>
      </c>
      <c r="B268" s="32" t="inlineStr">
        <is>
          <t>Nations Energy v. Panama</t>
        </is>
      </c>
      <c r="C268" s="32" t="inlineStr">
        <is>
          <t>Nations Energy, Inc. and others v. Republic of Panama (ICSID Case No. ARB/06/19)</t>
        </is>
      </c>
      <c r="D268" s="32" t="inlineStr">
        <is>
          <t>Panama</t>
        </is>
      </c>
      <c r="E268" s="32" t="inlineStr">
        <is>
          <t>América Central/Caribe</t>
        </is>
      </c>
      <c r="F268" s="32" t="inlineStr">
        <is>
          <t>United States of America</t>
        </is>
      </c>
      <c r="G268" s="32" t="n">
        <v>2006</v>
      </c>
      <c r="H268" s="32" t="inlineStr">
        <is>
          <t>No - ganó el Estado</t>
        </is>
      </c>
      <c r="I268" s="32" t="inlineStr">
        <is>
          <t>No</t>
        </is>
      </c>
      <c r="J268" s="32" t="inlineStr">
        <is>
          <t>TJE - Trato Justo y Equitativo | Expropiación</t>
        </is>
      </c>
      <c r="K268" s="32" t="inlineStr">
        <is>
          <t>62.10 USD</t>
        </is>
      </c>
      <c r="L268" s="32" t="inlineStr"/>
      <c r="M268" s="32" t="inlineStr">
        <is>
          <t>Tertiary - D - Electricity, gas, steam and air conditioning supply</t>
        </is>
      </c>
      <c r="N268" s="32" t="inlineStr"/>
      <c r="O268" s="32" t="inlineStr">
        <is>
          <t>Panama - United States of America BIT (1982)</t>
        </is>
      </c>
      <c r="P268" s="32" t="inlineStr"/>
      <c r="Q268" s="32" t="inlineStr">
        <is>
          <t>Mourre, A. - President; Chillón Medina, J. M. - Claimant; von Wobeser, C. - Respondent</t>
        </is>
      </c>
      <c r="R268" s="32" t="inlineStr">
        <is>
          <t>ICSID annulment proceedings</t>
        </is>
      </c>
      <c r="S268" s="32" t="inlineStr">
        <is>
          <t>Discontinued ICSID annulment proceedings</t>
        </is>
      </c>
      <c r="T268" s="32" t="inlineStr">
        <is>
          <t>Indeterminado</t>
        </is>
      </c>
      <c r="U268" s="32" t="inlineStr">
        <is>
          <t>http://www.italaw.com/cases/739</t>
        </is>
      </c>
      <c r="V268" s="32" t="inlineStr">
        <is>
          <t>Sí</t>
        </is>
      </c>
    </row>
    <row r="269">
      <c r="A269" s="33" t="n">
        <v>268</v>
      </c>
      <c r="B269" s="33" t="inlineStr">
        <is>
          <t>Occidental v. Ecuador (II)</t>
        </is>
      </c>
      <c r="C269" s="33" t="inlineStr">
        <is>
          <t>Occidental Petroleum Corporation and Occidental Exploration and Production Company v. Republic of Ecuador (II) (ICSID Case No. ARB/06/11)</t>
        </is>
      </c>
      <c r="D269" s="33" t="inlineStr">
        <is>
          <t>Ecuador</t>
        </is>
      </c>
      <c r="E269" s="33" t="inlineStr">
        <is>
          <t>América del Sur</t>
        </is>
      </c>
      <c r="F269" s="33" t="inlineStr">
        <is>
          <t>United States of America</t>
        </is>
      </c>
      <c r="G269" s="33" t="n">
        <v>2006</v>
      </c>
      <c r="H269" s="33" t="inlineStr">
        <is>
          <t>Sí con daños</t>
        </is>
      </c>
      <c r="I269" s="33" t="inlineStr">
        <is>
          <t>Sí</t>
        </is>
      </c>
      <c r="J269" s="33" t="inlineStr"/>
      <c r="K269" s="33" t="inlineStr">
        <is>
          <t>1000.00 USD</t>
        </is>
      </c>
      <c r="L269" s="33" t="inlineStr">
        <is>
          <t>1769.00 USD</t>
        </is>
      </c>
      <c r="M269" s="33" t="inlineStr">
        <is>
          <t>Primary - B - Mining and quarrying</t>
        </is>
      </c>
      <c r="N269" s="33" t="inlineStr"/>
      <c r="O269" s="33" t="inlineStr">
        <is>
          <t>Ecuador - United States of America BIT (1993)</t>
        </is>
      </c>
      <c r="P269" s="33" t="inlineStr"/>
      <c r="Q269" s="33" t="inlineStr">
        <is>
          <t>Fortier, L. Y. - President; Williams, D. A. R. - Claimant; Stern, B. - Respondent</t>
        </is>
      </c>
      <c r="R269" s="33" t="inlineStr">
        <is>
          <t>ICSID annulment proceedings</t>
        </is>
      </c>
      <c r="S269" s="33" t="inlineStr">
        <is>
          <t>Award/decision partially annulled ICSID annulment proceedings</t>
        </is>
      </c>
      <c r="T269" s="33" t="inlineStr">
        <is>
          <t>Inglés</t>
        </is>
      </c>
      <c r="U269" s="33" t="inlineStr">
        <is>
          <t>http://www.italaw.com/cases/767</t>
        </is>
      </c>
      <c r="V269" s="33" t="inlineStr">
        <is>
          <t>Sí</t>
        </is>
      </c>
    </row>
    <row r="270">
      <c r="A270" s="32" t="n">
        <v>269</v>
      </c>
      <c r="B270" s="32" t="inlineStr">
        <is>
          <t>Phoenix Action v. Czech Republic</t>
        </is>
      </c>
      <c r="C270" s="32" t="inlineStr">
        <is>
          <t>Phoenix Action Ltd v. Czech Republic (ICSID Case No. ARB/06/5)</t>
        </is>
      </c>
      <c r="D270" s="32" t="inlineStr">
        <is>
          <t>Czechia</t>
        </is>
      </c>
      <c r="E270" s="32" t="inlineStr">
        <is>
          <t>Sin clasificar</t>
        </is>
      </c>
      <c r="F270" s="32" t="inlineStr">
        <is>
          <t>Israel</t>
        </is>
      </c>
      <c r="G270" s="32" t="n">
        <v>2006</v>
      </c>
      <c r="H270" s="32" t="inlineStr">
        <is>
          <t>No - ganó el Estado</t>
        </is>
      </c>
      <c r="I270" s="32" t="inlineStr">
        <is>
          <t>No</t>
        </is>
      </c>
      <c r="J270" s="32" t="inlineStr">
        <is>
          <t>TJE - Trato Justo y Equitativo | Expropiación</t>
        </is>
      </c>
      <c r="K270" s="32" t="inlineStr">
        <is>
          <t>953.00 CZK (47.60 USD)</t>
        </is>
      </c>
      <c r="L270" s="32" t="inlineStr"/>
      <c r="M270" s="32" t="inlineStr">
        <is>
          <t>Tertiary - G - Wholesale and retail trade; repair of motor vehicles and motorcycles</t>
        </is>
      </c>
      <c r="N270" s="32" t="inlineStr"/>
      <c r="O270" s="32" t="inlineStr">
        <is>
          <t>Czech Republic - Israel BIT (1997)</t>
        </is>
      </c>
      <c r="P270" s="32" t="inlineStr">
        <is>
          <t>100% (wholly owned)</t>
        </is>
      </c>
      <c r="Q270" s="32" t="inlineStr">
        <is>
          <t>Stern, B. - President; Bucher, A. - Claimant; Fernández-Armesto, J. - Respondent</t>
        </is>
      </c>
      <c r="R270" s="32" t="inlineStr"/>
      <c r="S270" s="32" t="inlineStr"/>
      <c r="T270" s="32" t="inlineStr">
        <is>
          <t>Inglés</t>
        </is>
      </c>
      <c r="U270" s="32" t="inlineStr">
        <is>
          <t>http://www.italaw.com/cases/850</t>
        </is>
      </c>
      <c r="V270" s="32" t="inlineStr">
        <is>
          <t>Sí</t>
        </is>
      </c>
    </row>
    <row r="271">
      <c r="A271" s="33" t="n">
        <v>270</v>
      </c>
      <c r="B271" s="33" t="inlineStr">
        <is>
          <t>Quiborax v. Bolivia</t>
        </is>
      </c>
      <c r="C271" s="33" t="inlineStr">
        <is>
          <t>Quiborax S.A., Non-Metallic Minerals S.A. v. Plurinational State of Bolivia (ICSID Case No. ARB/06/2)</t>
        </is>
      </c>
      <c r="D271" s="33" t="inlineStr">
        <is>
          <t>Bolivia, Plurinational State of</t>
        </is>
      </c>
      <c r="E271" s="33" t="inlineStr">
        <is>
          <t>Sin clasificar</t>
        </is>
      </c>
      <c r="F271" s="33" t="inlineStr">
        <is>
          <t>Chile</t>
        </is>
      </c>
      <c r="G271" s="33" t="n">
        <v>2006</v>
      </c>
      <c r="H271" s="33" t="inlineStr">
        <is>
          <t>Sí con daños</t>
        </is>
      </c>
      <c r="I271" s="33" t="inlineStr">
        <is>
          <t>Sí</t>
        </is>
      </c>
      <c r="J271" s="33" t="inlineStr">
        <is>
          <t>Expropiación</t>
        </is>
      </c>
      <c r="K271" s="33" t="inlineStr">
        <is>
          <t>66.00 USD</t>
        </is>
      </c>
      <c r="L271" s="33" t="inlineStr">
        <is>
          <t>48.60 USD</t>
        </is>
      </c>
      <c r="M271" s="33" t="inlineStr">
        <is>
          <t>Primary - B - Mining and quarrying;
Secondary - C - Manufacturing</t>
        </is>
      </c>
      <c r="N271" s="33" t="inlineStr">
        <is>
          <t>Nacionalización</t>
        </is>
      </c>
      <c r="O271" s="33" t="inlineStr">
        <is>
          <t>Bolivia, Plurinational State of - Chile BIT (1994)</t>
        </is>
      </c>
      <c r="P271" s="33" t="inlineStr"/>
      <c r="Q271" s="33" t="inlineStr">
        <is>
          <t>Kaufmann-Kohler, G. - President; Lalonde, M. - Claimant; Stern, B. - Respondent</t>
        </is>
      </c>
      <c r="R271" s="33" t="inlineStr">
        <is>
          <t>ICSID annulment proceedings</t>
        </is>
      </c>
      <c r="S271" s="33" t="inlineStr">
        <is>
          <t>Award/decision upheld ICSID annulment proceedings</t>
        </is>
      </c>
      <c r="T271" s="33" t="inlineStr">
        <is>
          <t>Indeterminado</t>
        </is>
      </c>
      <c r="U271" s="33" t="inlineStr">
        <is>
          <t>http://www.italaw.com/cases/885</t>
        </is>
      </c>
      <c r="V271" s="33" t="inlineStr">
        <is>
          <t>Sí</t>
        </is>
      </c>
    </row>
    <row r="272">
      <c r="A272" s="34" t="n">
        <v>271</v>
      </c>
      <c r="B272" s="34" t="inlineStr">
        <is>
          <t>Rompetrol v. Romania</t>
        </is>
      </c>
      <c r="C272" s="34" t="inlineStr">
        <is>
          <t>The Rompetrol Group N.V. v. Romania (ICSID Case No. ARB/06/3)</t>
        </is>
      </c>
      <c r="D272" s="34" t="inlineStr">
        <is>
          <t>Romania</t>
        </is>
      </c>
      <c r="E272" s="34" t="inlineStr">
        <is>
          <t>Europa Occidental</t>
        </is>
      </c>
      <c r="F272" s="34" t="inlineStr">
        <is>
          <t>Netherlands</t>
        </is>
      </c>
      <c r="G272" s="34" t="n">
        <v>2006</v>
      </c>
      <c r="H272" s="34" t="inlineStr">
        <is>
          <t>Sí sin daños</t>
        </is>
      </c>
      <c r="I272" s="34" t="inlineStr">
        <is>
          <t>Sí</t>
        </is>
      </c>
      <c r="J272" s="34" t="inlineStr">
        <is>
          <t>TJE - Trato Justo y Equitativo | Expropiación</t>
        </is>
      </c>
      <c r="K272" s="34" t="inlineStr">
        <is>
          <t>100.00 USD</t>
        </is>
      </c>
      <c r="L272" s="34" t="inlineStr">
        <is>
          <t>0.00 USD</t>
        </is>
      </c>
      <c r="M272" s="34" t="inlineStr">
        <is>
          <t>Secondary - C - Manufacturing</t>
        </is>
      </c>
      <c r="N272" s="34" t="inlineStr">
        <is>
          <t>Nacionalización</t>
        </is>
      </c>
      <c r="O272" s="34" t="inlineStr">
        <is>
          <t>Netherlands - Romania BIT (1994)</t>
        </is>
      </c>
      <c r="P272" s="34" t="inlineStr"/>
      <c r="Q272" s="34" t="inlineStr">
        <is>
          <t>Berman, F. - President; Donovan, D. - Claimant; Lalonde, M. - Respondent</t>
        </is>
      </c>
      <c r="R272" s="34" t="inlineStr"/>
      <c r="S272" s="34" t="inlineStr"/>
      <c r="T272" s="34" t="inlineStr">
        <is>
          <t>Indeterminado</t>
        </is>
      </c>
      <c r="U272" s="34" t="inlineStr">
        <is>
          <t>http://www.italaw.com/cases/920</t>
        </is>
      </c>
      <c r="V272" s="34" t="inlineStr">
        <is>
          <t>Sí</t>
        </is>
      </c>
    </row>
    <row r="273">
      <c r="A273" s="32" t="n">
        <v>272</v>
      </c>
      <c r="B273" s="32" t="inlineStr">
        <is>
          <t>Roussalis v. Romania</t>
        </is>
      </c>
      <c r="C273" s="32" t="inlineStr">
        <is>
          <t>Spyridon Roussalis v. Romania (ICSID Case No. ARB/06/1)</t>
        </is>
      </c>
      <c r="D273" s="32" t="inlineStr">
        <is>
          <t>Romania</t>
        </is>
      </c>
      <c r="E273" s="32" t="inlineStr">
        <is>
          <t>Europa Occidental</t>
        </is>
      </c>
      <c r="F273" s="32" t="inlineStr">
        <is>
          <t>Greece</t>
        </is>
      </c>
      <c r="G273" s="32" t="n">
        <v>2006</v>
      </c>
      <c r="H273" s="32" t="inlineStr">
        <is>
          <t>No - ganó el Estado</t>
        </is>
      </c>
      <c r="I273" s="32" t="inlineStr">
        <is>
          <t>No</t>
        </is>
      </c>
      <c r="J273" s="32" t="inlineStr"/>
      <c r="K273" s="32" t="inlineStr">
        <is>
          <t>110.00 USD</t>
        </is>
      </c>
      <c r="L273" s="32" t="inlineStr"/>
      <c r="M273" s="32" t="inlineStr">
        <is>
          <t>Tertiary - H - Transportation and storage</t>
        </is>
      </c>
      <c r="N273" s="32" t="inlineStr"/>
      <c r="O273" s="32" t="inlineStr">
        <is>
          <t>Greece - Romania BIT (1997)</t>
        </is>
      </c>
      <c r="P273" s="32" t="inlineStr"/>
      <c r="Q273" s="32" t="inlineStr">
        <is>
          <t>Hanotiau, B. - President; Giardina, A. - Claimant; Reisman, W. M. - Respondent</t>
        </is>
      </c>
      <c r="R273" s="32" t="inlineStr"/>
      <c r="S273" s="32" t="inlineStr"/>
      <c r="T273" s="32" t="inlineStr">
        <is>
          <t>Indeterminado</t>
        </is>
      </c>
      <c r="U273" s="32" t="inlineStr">
        <is>
          <t>http://www.italaw.com/cases/927</t>
        </is>
      </c>
      <c r="V273" s="32" t="inlineStr">
        <is>
          <t>Sí</t>
        </is>
      </c>
    </row>
    <row r="274">
      <c r="A274" s="33" t="n">
        <v>273</v>
      </c>
      <c r="B274" s="33" t="inlineStr">
        <is>
          <t>Sistem v. Kyrgyzstan</t>
        </is>
      </c>
      <c r="C274" s="33" t="inlineStr">
        <is>
          <t>Sistem Mühendislik Inşaat Sanayi ve Ticaret A.Ş. v. Kyrgyz Republic (ICSID Case No. ARB(AF)/06/1)</t>
        </is>
      </c>
      <c r="D274" s="33" t="inlineStr">
        <is>
          <t>Kyrgyzstan</t>
        </is>
      </c>
      <c r="E274" s="33" t="inlineStr">
        <is>
          <t>Este Europa/Asia Central</t>
        </is>
      </c>
      <c r="F274" s="33" t="inlineStr">
        <is>
          <t>Türkiye</t>
        </is>
      </c>
      <c r="G274" s="33" t="n">
        <v>2006</v>
      </c>
      <c r="H274" s="33" t="inlineStr">
        <is>
          <t>Sí con daños</t>
        </is>
      </c>
      <c r="I274" s="33" t="inlineStr">
        <is>
          <t>Sí</t>
        </is>
      </c>
      <c r="J274" s="33" t="inlineStr"/>
      <c r="K274" s="33" t="inlineStr">
        <is>
          <t>24.70 USD</t>
        </is>
      </c>
      <c r="L274" s="33" t="inlineStr">
        <is>
          <t>8.50 USD</t>
        </is>
      </c>
      <c r="M274" s="33" t="inlineStr">
        <is>
          <t>Tertiary - F - Construction;
Tertiary - I - Accommodation and food service activities</t>
        </is>
      </c>
      <c r="N274" s="33" t="inlineStr">
        <is>
          <t>Revocación de licencia/permiso | Denegación de permiso</t>
        </is>
      </c>
      <c r="O274" s="33" t="inlineStr">
        <is>
          <t>Kyrgyzstan - Turkey BIT (1992)</t>
        </is>
      </c>
      <c r="P274" s="33" t="inlineStr">
        <is>
          <t>999 Share</t>
        </is>
      </c>
      <c r="Q274" s="33" t="inlineStr">
        <is>
          <t>Lowe, V. - President; Patocchi, P. M. - Claimant; Elabary, N. - Respondent</t>
        </is>
      </c>
      <c r="R274" s="33" t="inlineStr">
        <is>
          <t>Judicial review by national courts</t>
        </is>
      </c>
      <c r="S274" s="33" t="inlineStr">
        <is>
          <t>Award/decision upheld Judicial review by national courts</t>
        </is>
      </c>
      <c r="T274" s="33" t="inlineStr">
        <is>
          <t>Inglés</t>
        </is>
      </c>
      <c r="U274" s="33" t="inlineStr">
        <is>
          <t>http://www.italaw.com/cases/1506</t>
        </is>
      </c>
      <c r="V274" s="33" t="inlineStr">
        <is>
          <t>Sí</t>
        </is>
      </c>
    </row>
    <row r="275">
      <c r="A275" s="33" t="n">
        <v>274</v>
      </c>
      <c r="B275" s="33" t="inlineStr">
        <is>
          <t>Vestey v. Venezuela</t>
        </is>
      </c>
      <c r="C275" s="33" t="inlineStr">
        <is>
          <t>Vestey Group Ltd v. Bolivarian Republic of Venezuela (ICSID Case No. ARB/06/4)</t>
        </is>
      </c>
      <c r="D275" s="33" t="inlineStr">
        <is>
          <t>Venezuela, Bolivarian Republic of</t>
        </is>
      </c>
      <c r="E275" s="33" t="inlineStr">
        <is>
          <t>América del Sur</t>
        </is>
      </c>
      <c r="F275" s="33" t="inlineStr">
        <is>
          <t>United Kingdom</t>
        </is>
      </c>
      <c r="G275" s="33" t="n">
        <v>2006</v>
      </c>
      <c r="H275" s="33" t="inlineStr">
        <is>
          <t>Sí con daños</t>
        </is>
      </c>
      <c r="I275" s="33" t="inlineStr">
        <is>
          <t>Sí</t>
        </is>
      </c>
      <c r="J275" s="33" t="inlineStr">
        <is>
          <t>TJE - Trato Justo y Equitativo | Expropiación</t>
        </is>
      </c>
      <c r="K275" s="33" t="inlineStr">
        <is>
          <t>157.40 USD</t>
        </is>
      </c>
      <c r="L275" s="33" t="inlineStr">
        <is>
          <t>98.10 USD</t>
        </is>
      </c>
      <c r="M275" s="33" t="inlineStr">
        <is>
          <t>Primary - A - Agriculture, forestry and fishing</t>
        </is>
      </c>
      <c r="N275" s="33" t="inlineStr"/>
      <c r="O275" s="33" t="inlineStr">
        <is>
          <t>United Kingdom - Venezuela, Bolivarian Republic of BIT (1995)</t>
        </is>
      </c>
      <c r="P275" s="33" t="inlineStr"/>
      <c r="Q275" s="33" t="inlineStr">
        <is>
          <t>Kaufmann-Kohler, G. - President; Grigera Naón, H. A. - Claimant; Dupuy, P.-M. - Respondent</t>
        </is>
      </c>
      <c r="R275" s="33" t="inlineStr">
        <is>
          <t>ICSID annulment proceedings</t>
        </is>
      </c>
      <c r="S275" s="33" t="inlineStr">
        <is>
          <t>Award/decision upheld ICSID annulment proceedings</t>
        </is>
      </c>
      <c r="T275" s="33" t="inlineStr">
        <is>
          <t>Inglés</t>
        </is>
      </c>
      <c r="U275" s="33" t="inlineStr">
        <is>
          <t>http://www.italaw.com/cases/3616</t>
        </is>
      </c>
      <c r="V275" s="33" t="inlineStr">
        <is>
          <t>Sí</t>
        </is>
      </c>
    </row>
    <row r="276">
      <c r="A276" s="32" t="n">
        <v>275</v>
      </c>
      <c r="B276" s="32" t="inlineStr">
        <is>
          <t>AHCA v. Congo</t>
        </is>
      </c>
      <c r="C276" s="32" t="inlineStr">
        <is>
          <t>African Holding Company of America, Inc. and Société Africaine de Construction au Congo S.A.R.L. v. Democratic Republic of the Congo (ICSID Case No. ARB/05/21)</t>
        </is>
      </c>
      <c r="D276" s="32" t="inlineStr">
        <is>
          <t>Congo, Democratic Republic of the</t>
        </is>
      </c>
      <c r="E276" s="32" t="inlineStr">
        <is>
          <t>Sin clasificar</t>
        </is>
      </c>
      <c r="F276" s="32" t="inlineStr">
        <is>
          <t>United States of America</t>
        </is>
      </c>
      <c r="G276" s="32" t="n">
        <v>2005</v>
      </c>
      <c r="H276" s="32" t="inlineStr">
        <is>
          <t>No - ganó el Estado</t>
        </is>
      </c>
      <c r="I276" s="32" t="inlineStr">
        <is>
          <t>No</t>
        </is>
      </c>
      <c r="J276" s="32" t="inlineStr"/>
      <c r="K276" s="32" t="inlineStr"/>
      <c r="L276" s="32" t="inlineStr"/>
      <c r="M276" s="32" t="inlineStr">
        <is>
          <t>Tertiary - F - Construction</t>
        </is>
      </c>
      <c r="N276" s="32" t="inlineStr"/>
      <c r="O276" s="32" t="inlineStr">
        <is>
          <t>Congo, Democratic Republic of the - United States of America BIT (1984)</t>
        </is>
      </c>
      <c r="P276" s="32" t="inlineStr"/>
      <c r="Q276" s="32" t="inlineStr">
        <is>
          <t>Orrego Vicuña, F. - President; El-Kosheri, A. S. - President (replaced); De Witt Wijnen, O. L. O. - Claimant; Grisay, D. - Respondent; Giovannini, T. - Respondent (replaced)</t>
        </is>
      </c>
      <c r="R276" s="32" t="inlineStr"/>
      <c r="S276" s="32" t="inlineStr"/>
      <c r="T276" s="32" t="inlineStr">
        <is>
          <t>Indeterminado</t>
        </is>
      </c>
      <c r="U276" s="32" t="inlineStr">
        <is>
          <t>http://www.italaw.com/cases/56</t>
        </is>
      </c>
      <c r="V276" s="32" t="inlineStr">
        <is>
          <t>Sí</t>
        </is>
      </c>
    </row>
    <row r="277">
      <c r="A277" s="33" t="n">
        <v>276</v>
      </c>
      <c r="B277" s="33" t="inlineStr">
        <is>
          <t>Ares and MetalGeo v. Georgia</t>
        </is>
      </c>
      <c r="C277" s="33" t="inlineStr">
        <is>
          <t>Ares International S.r.l. and MetalGeo S.r.l. v. Georgia (ICSID Case No. ARB/05/23)</t>
        </is>
      </c>
      <c r="D277" s="33" t="inlineStr">
        <is>
          <t>Georgia</t>
        </is>
      </c>
      <c r="E277" s="33" t="inlineStr">
        <is>
          <t>Este Europa/Asia Central</t>
        </is>
      </c>
      <c r="F277" s="33" t="inlineStr">
        <is>
          <t>Italy</t>
        </is>
      </c>
      <c r="G277" s="33" t="n">
        <v>2005</v>
      </c>
      <c r="H277" s="33" t="inlineStr">
        <is>
          <t>Sí con daños</t>
        </is>
      </c>
      <c r="I277" s="33" t="inlineStr">
        <is>
          <t>Sí</t>
        </is>
      </c>
      <c r="J277" s="33" t="inlineStr">
        <is>
          <t>Expropiación | NMF - Nación Más Favorecida | Trato Nacional</t>
        </is>
      </c>
      <c r="K277" s="33" t="inlineStr">
        <is>
          <t>113.00 USD</t>
        </is>
      </c>
      <c r="L277" s="33" t="inlineStr">
        <is>
          <t>3.50 USD</t>
        </is>
      </c>
      <c r="M277" s="33" t="inlineStr">
        <is>
          <t>Secondary - C - Manufacturing</t>
        </is>
      </c>
      <c r="N277" s="33" t="inlineStr">
        <is>
          <t>Nacionalización</t>
        </is>
      </c>
      <c r="O277" s="33" t="inlineStr">
        <is>
          <t>Georgia - Italy BIT (1997)</t>
        </is>
      </c>
      <c r="P277" s="33" t="inlineStr"/>
      <c r="Q277" s="33" t="inlineStr">
        <is>
          <t>Rowley, J. W. - President; Gaillard, E. - Claimant; Beechey, J. - Respondent</t>
        </is>
      </c>
      <c r="R277" s="33" t="inlineStr"/>
      <c r="S277" s="33" t="inlineStr"/>
      <c r="T277" s="33" t="inlineStr">
        <is>
          <t>Indeterminado</t>
        </is>
      </c>
      <c r="U277" s="33" t="inlineStr">
        <is>
          <t>http://www.italaw.com/cases/3471</t>
        </is>
      </c>
      <c r="V277" s="33" t="inlineStr">
        <is>
          <t>Sí</t>
        </is>
      </c>
    </row>
    <row r="278">
      <c r="A278" s="32" t="n">
        <v>277</v>
      </c>
      <c r="B278" s="32" t="inlineStr">
        <is>
          <t>Bayview v. Mexico</t>
        </is>
      </c>
      <c r="C278" s="32" t="inlineStr">
        <is>
          <t>Bayview Irrigation District and others v. United Mexican States (ICSID Case No. ARB(AF)/05/1)</t>
        </is>
      </c>
      <c r="D278" s="32" t="inlineStr">
        <is>
          <t>Mexico</t>
        </is>
      </c>
      <c r="E278" s="32" t="inlineStr">
        <is>
          <t>América del Norte</t>
        </is>
      </c>
      <c r="F278" s="32" t="inlineStr">
        <is>
          <t>United States of America</t>
        </is>
      </c>
      <c r="G278" s="32" t="n">
        <v>2005</v>
      </c>
      <c r="H278" s="32" t="inlineStr">
        <is>
          <t>No - ganó el Estado</t>
        </is>
      </c>
      <c r="I278" s="32" t="inlineStr">
        <is>
          <t>No</t>
        </is>
      </c>
      <c r="J278" s="32" t="inlineStr">
        <is>
          <t>Expropiación | Trato Nacional</t>
        </is>
      </c>
      <c r="K278" s="32" t="inlineStr">
        <is>
          <t>667.60 USD</t>
        </is>
      </c>
      <c r="L278" s="32" t="inlineStr"/>
      <c r="M278" s="32" t="inlineStr">
        <is>
          <t>Primary - A - Agriculture, forestry and fishing</t>
        </is>
      </c>
      <c r="N278" s="32" t="inlineStr"/>
      <c r="O278" s="32" t="inlineStr">
        <is>
          <t>NAFTA (1992)</t>
        </is>
      </c>
      <c r="P278" s="32" t="inlineStr"/>
      <c r="Q278" s="32" t="inlineStr">
        <is>
          <t>Lowe, V. - President; Meese III, E. - Claimant; Gómez Palacio, I. - Respondent</t>
        </is>
      </c>
      <c r="R278" s="32" t="inlineStr">
        <is>
          <t>Judicial review by national courts</t>
        </is>
      </c>
      <c r="S278" s="32" t="inlineStr">
        <is>
          <t>Award/decision upheld Judicial review by national courts</t>
        </is>
      </c>
      <c r="T278" s="32" t="inlineStr">
        <is>
          <t>Inglés</t>
        </is>
      </c>
      <c r="U278" s="32" t="inlineStr">
        <is>
          <t>http://www.italaw.com/cases/134</t>
        </is>
      </c>
      <c r="V278" s="32" t="inlineStr">
        <is>
          <t>Sí</t>
        </is>
      </c>
    </row>
    <row r="279">
      <c r="A279" s="34" t="n">
        <v>278</v>
      </c>
      <c r="B279" s="34" t="inlineStr">
        <is>
          <t>Biwater v. Tanzania</t>
        </is>
      </c>
      <c r="C279" s="34" t="inlineStr">
        <is>
          <t>Biwater Gauff (Tanzania) Limited v. United Republic of Tanzania (ICSID Case No. ARB/05/22)</t>
        </is>
      </c>
      <c r="D279" s="34" t="inlineStr">
        <is>
          <t>Tanzania, United Republic of</t>
        </is>
      </c>
      <c r="E279" s="34" t="inlineStr">
        <is>
          <t>Sin clasificar</t>
        </is>
      </c>
      <c r="F279" s="34" t="inlineStr">
        <is>
          <t>United Kingdom</t>
        </is>
      </c>
      <c r="G279" s="34" t="n">
        <v>2005</v>
      </c>
      <c r="H279" s="34" t="inlineStr">
        <is>
          <t>Sí sin daños</t>
        </is>
      </c>
      <c r="I279" s="34" t="inlineStr">
        <is>
          <t>Sí</t>
        </is>
      </c>
      <c r="J279" s="34" t="inlineStr">
        <is>
          <t>Expropiación</t>
        </is>
      </c>
      <c r="K279" s="34" t="inlineStr">
        <is>
          <t>20.00 USD</t>
        </is>
      </c>
      <c r="L279" s="34" t="inlineStr">
        <is>
          <t>0.00 USD</t>
        </is>
      </c>
      <c r="M279" s="34" t="inlineStr">
        <is>
          <t>Tertiary - E - Water supply; sewerage, waste management and remediation activities;
Tertiary - E - Water supply; sewerage, waste management and remediation activities</t>
        </is>
      </c>
      <c r="N279" s="34" t="inlineStr">
        <is>
          <t>Rescisión/terminación de contrato</t>
        </is>
      </c>
      <c r="O279" s="34" t="inlineStr">
        <is>
          <t>United Republic of Tanzania - United Kingdom BIT (1994)</t>
        </is>
      </c>
      <c r="P279" s="34" t="inlineStr"/>
      <c r="Q279" s="34" t="inlineStr">
        <is>
          <t>Hanotiau, B. - President; Born, G. B. - Claimant; Landau, T. - Respondent</t>
        </is>
      </c>
      <c r="R279" s="34" t="inlineStr"/>
      <c r="S279" s="34" t="inlineStr"/>
      <c r="T279" s="34" t="inlineStr">
        <is>
          <t>Inglés</t>
        </is>
      </c>
      <c r="U279" s="34" t="inlineStr">
        <is>
          <t>http://www.italaw.com/cases/157</t>
        </is>
      </c>
      <c r="V279" s="34" t="inlineStr">
        <is>
          <t>Sí</t>
        </is>
      </c>
    </row>
    <row r="280">
      <c r="A280" s="33" t="n">
        <v>279</v>
      </c>
      <c r="B280" s="33" t="inlineStr">
        <is>
          <t>Cargill v. Mexico</t>
        </is>
      </c>
      <c r="C280" s="33" t="inlineStr">
        <is>
          <t>Cargill, Incorporated v. United Mexican States (ICSID Case No. ARB(AF)/05/2)</t>
        </is>
      </c>
      <c r="D280" s="33" t="inlineStr">
        <is>
          <t>Mexico</t>
        </is>
      </c>
      <c r="E280" s="33" t="inlineStr">
        <is>
          <t>América del Norte</t>
        </is>
      </c>
      <c r="F280" s="33" t="inlineStr">
        <is>
          <t>United States of America</t>
        </is>
      </c>
      <c r="G280" s="33" t="n">
        <v>2005</v>
      </c>
      <c r="H280" s="33" t="inlineStr">
        <is>
          <t>Sí con daños</t>
        </is>
      </c>
      <c r="I280" s="33" t="inlineStr">
        <is>
          <t>Sí</t>
        </is>
      </c>
      <c r="J280" s="33" t="inlineStr">
        <is>
          <t>TJE - Trato Justo y Equitativo | Expropiación | NMF - Nación Más Favorecida | Trato Nacional</t>
        </is>
      </c>
      <c r="K280" s="33" t="inlineStr">
        <is>
          <t>123.80 USD</t>
        </is>
      </c>
      <c r="L280" s="33" t="inlineStr">
        <is>
          <t>77.30 USD</t>
        </is>
      </c>
      <c r="M280" s="33" t="inlineStr">
        <is>
          <t>Secondary - C - Manufacturing</t>
        </is>
      </c>
      <c r="N280" s="33" t="inlineStr">
        <is>
          <t>Medida fiscal/impositiva</t>
        </is>
      </c>
      <c r="O280" s="33" t="inlineStr">
        <is>
          <t>NAFTA (1992)</t>
        </is>
      </c>
      <c r="P280" s="33" t="inlineStr"/>
      <c r="Q280" s="33" t="inlineStr">
        <is>
          <t>Pryles, M. C. - President; Caron, D. D. - Claimant; McRae, D. M. - Respondent</t>
        </is>
      </c>
      <c r="R280" s="33" t="inlineStr">
        <is>
          <t>Judicial review by national courts</t>
        </is>
      </c>
      <c r="S280" s="33" t="inlineStr">
        <is>
          <t>Award/decision upheld Judicial review by national courts</t>
        </is>
      </c>
      <c r="T280" s="33" t="inlineStr">
        <is>
          <t>Inglés</t>
        </is>
      </c>
      <c r="U280" s="33" t="inlineStr">
        <is>
          <t>http://www.italaw.com/cases/223</t>
        </is>
      </c>
      <c r="V280" s="33" t="inlineStr">
        <is>
          <t>Sí</t>
        </is>
      </c>
    </row>
    <row r="281">
      <c r="A281" s="32" t="n">
        <v>280</v>
      </c>
      <c r="B281" s="32" t="inlineStr">
        <is>
          <t>Daimler v. Argentina</t>
        </is>
      </c>
      <c r="C281" s="32" t="inlineStr">
        <is>
          <t>Daimler Financial Services AG v. Argentine Republic (ICSID Case No. ARB/05/1)</t>
        </is>
      </c>
      <c r="D281" s="32" t="inlineStr">
        <is>
          <t>Argentina</t>
        </is>
      </c>
      <c r="E281" s="32" t="inlineStr">
        <is>
          <t>América del Sur</t>
        </is>
      </c>
      <c r="F281" s="32" t="inlineStr">
        <is>
          <t>Germany</t>
        </is>
      </c>
      <c r="G281" s="32" t="n">
        <v>2005</v>
      </c>
      <c r="H281" s="32" t="inlineStr">
        <is>
          <t>No - ganó el Estado</t>
        </is>
      </c>
      <c r="I281" s="32" t="inlineStr">
        <is>
          <t>No</t>
        </is>
      </c>
      <c r="J281" s="32" t="inlineStr">
        <is>
          <t>TJE - Trato Justo y Equitativo</t>
        </is>
      </c>
      <c r="K281" s="32" t="inlineStr">
        <is>
          <t>272.70 EUR (243.00 USD)</t>
        </is>
      </c>
      <c r="L281" s="32" t="inlineStr"/>
      <c r="M281" s="32" t="inlineStr">
        <is>
          <t>Tertiary - K - Financial and insurance activities</t>
        </is>
      </c>
      <c r="N281" s="32" t="inlineStr"/>
      <c r="O281" s="32" t="inlineStr">
        <is>
          <t>Argentina - Germany BIT (1991)</t>
        </is>
      </c>
      <c r="P281" s="32" t="inlineStr"/>
      <c r="Q281" s="32" t="inlineStr">
        <is>
          <t>Dupuy, P.-M. - President; Brower, C. N. - Claimant; Bello Janeiro, D. - Respondent</t>
        </is>
      </c>
      <c r="R281" s="32" t="inlineStr">
        <is>
          <t>ICSID annulment proceedings</t>
        </is>
      </c>
      <c r="S281" s="32" t="inlineStr">
        <is>
          <t>Award/decision upheld ICSID annulment proceedings</t>
        </is>
      </c>
      <c r="T281" s="32" t="inlineStr">
        <is>
          <t>Indeterminado</t>
        </is>
      </c>
      <c r="U281" s="32" t="inlineStr">
        <is>
          <t>http://www.italaw.com/cases/1520</t>
        </is>
      </c>
      <c r="V281" s="32" t="inlineStr">
        <is>
          <t>Sí</t>
        </is>
      </c>
    </row>
    <row r="282">
      <c r="A282" s="33" t="n">
        <v>281</v>
      </c>
      <c r="B282" s="33" t="inlineStr">
        <is>
          <t>Desert Line v. Yemen</t>
        </is>
      </c>
      <c r="C282" s="33" t="inlineStr">
        <is>
          <t>Desert Line Projects LLC v. Republic of Yemen (ICSID Case No. ARB/05/17)</t>
        </is>
      </c>
      <c r="D282" s="33" t="inlineStr">
        <is>
          <t>Yemen</t>
        </is>
      </c>
      <c r="E282" s="33" t="inlineStr">
        <is>
          <t>Medio Oriente/Norte África</t>
        </is>
      </c>
      <c r="F282" s="33" t="inlineStr">
        <is>
          <t>Oman</t>
        </is>
      </c>
      <c r="G282" s="33" t="n">
        <v>2005</v>
      </c>
      <c r="H282" s="33" t="inlineStr">
        <is>
          <t>Sí con daños</t>
        </is>
      </c>
      <c r="I282" s="33" t="inlineStr">
        <is>
          <t>Sí</t>
        </is>
      </c>
      <c r="J282" s="33" t="inlineStr"/>
      <c r="K282" s="33" t="inlineStr">
        <is>
          <t>96.40 OMR (249.60 USD)</t>
        </is>
      </c>
      <c r="L282" s="33" t="inlineStr">
        <is>
          <t>7.20 OMR (18.80 USD)</t>
        </is>
      </c>
      <c r="M282" s="33" t="inlineStr">
        <is>
          <t>Tertiary - F - Construction</t>
        </is>
      </c>
      <c r="N282" s="33" t="inlineStr"/>
      <c r="O282" s="33" t="inlineStr">
        <is>
          <t>Oman - Yemen BIT (1998)</t>
        </is>
      </c>
      <c r="P282" s="33" t="inlineStr"/>
      <c r="Q282" s="33" t="inlineStr">
        <is>
          <t>Tercier, P. - President; Paulsson, J. - Claimant; El-Kosheri, A. S. - Respondent</t>
        </is>
      </c>
      <c r="R282" s="33" t="inlineStr"/>
      <c r="S282" s="33" t="inlineStr"/>
      <c r="T282" s="33" t="inlineStr">
        <is>
          <t>Indeterminado</t>
        </is>
      </c>
      <c r="U282" s="33" t="inlineStr">
        <is>
          <t>http://italaw.com/cases/353</t>
        </is>
      </c>
      <c r="V282" s="33" t="inlineStr">
        <is>
          <t>Sí</t>
        </is>
      </c>
    </row>
    <row r="283">
      <c r="A283" s="32" t="n">
        <v>282</v>
      </c>
      <c r="B283" s="32" t="inlineStr">
        <is>
          <t>EDF v. Romania</t>
        </is>
      </c>
      <c r="C283" s="32" t="inlineStr">
        <is>
          <t>EDF (Services) Limited v. Republic of Romania (ICSID Case No. ARB/05/13)</t>
        </is>
      </c>
      <c r="D283" s="32" t="inlineStr">
        <is>
          <t>Romania</t>
        </is>
      </c>
      <c r="E283" s="32" t="inlineStr">
        <is>
          <t>Europa Occidental</t>
        </is>
      </c>
      <c r="F283" s="32" t="inlineStr">
        <is>
          <t>United Kingdom</t>
        </is>
      </c>
      <c r="G283" s="32" t="n">
        <v>2005</v>
      </c>
      <c r="H283" s="32" t="inlineStr">
        <is>
          <t>No - ganó el Estado</t>
        </is>
      </c>
      <c r="I283" s="32" t="inlineStr">
        <is>
          <t>No</t>
        </is>
      </c>
      <c r="J283" s="32" t="inlineStr"/>
      <c r="K283" s="32" t="inlineStr">
        <is>
          <t>132.50 USD</t>
        </is>
      </c>
      <c r="L283" s="32" t="inlineStr"/>
      <c r="M283" s="32" t="inlineStr">
        <is>
          <t>Tertiary - G - Wholesale and retail trade; repair of motor vehicles and motorcycles</t>
        </is>
      </c>
      <c r="N283" s="32" t="inlineStr"/>
      <c r="O283" s="32" t="inlineStr">
        <is>
          <t>Romania - United Kingdom BIT (1995)</t>
        </is>
      </c>
      <c r="P283" s="32" t="inlineStr"/>
      <c r="Q283" s="32" t="inlineStr">
        <is>
          <t>Bernardini, P. - President; Rovine, A. W. - Claimant; Derains, Y. - Respondent</t>
        </is>
      </c>
      <c r="R283" s="32" t="inlineStr"/>
      <c r="S283" s="32" t="inlineStr"/>
      <c r="T283" s="32" t="inlineStr">
        <is>
          <t>Indeterminado</t>
        </is>
      </c>
      <c r="U283" s="32" t="inlineStr">
        <is>
          <t>http://www.italaw.com/cases/375</t>
        </is>
      </c>
      <c r="V283" s="32" t="inlineStr">
        <is>
          <t>Sí</t>
        </is>
      </c>
    </row>
    <row r="284">
      <c r="A284" s="32" t="n">
        <v>283</v>
      </c>
      <c r="B284" s="32" t="inlineStr">
        <is>
          <t>EMELEC v. Ecuador</t>
        </is>
      </c>
      <c r="C284" s="32" t="inlineStr">
        <is>
          <t>Empresa Electrica del Ecuador, Inc. (EMELEC) v. Republic of Ecuador (ICSID Case No. ARB/05/9)</t>
        </is>
      </c>
      <c r="D284" s="32" t="inlineStr">
        <is>
          <t>Ecuador</t>
        </is>
      </c>
      <c r="E284" s="32" t="inlineStr">
        <is>
          <t>América del Sur</t>
        </is>
      </c>
      <c r="F284" s="32" t="inlineStr">
        <is>
          <t>United States of America</t>
        </is>
      </c>
      <c r="G284" s="32" t="n">
        <v>2005</v>
      </c>
      <c r="H284" s="32" t="inlineStr">
        <is>
          <t>No - ganó el Estado</t>
        </is>
      </c>
      <c r="I284" s="32" t="inlineStr">
        <is>
          <t>No</t>
        </is>
      </c>
      <c r="J284" s="32" t="inlineStr">
        <is>
          <t>Expropiación</t>
        </is>
      </c>
      <c r="K284" s="32" t="inlineStr">
        <is>
          <t>326.00 USD</t>
        </is>
      </c>
      <c r="L284" s="32" t="inlineStr"/>
      <c r="M284" s="32" t="inlineStr">
        <is>
          <t>Tertiary - D - Electricity, gas, steam and air conditioning supply</t>
        </is>
      </c>
      <c r="N284" s="32" t="inlineStr"/>
      <c r="O284" s="32" t="inlineStr">
        <is>
          <t>Ecuador - United States of America BIT (1993)</t>
        </is>
      </c>
      <c r="P284" s="32" t="inlineStr"/>
      <c r="Q284" s="32" t="inlineStr">
        <is>
          <t>Sepúlveda Amor, B. - President; Rooney, J. H. - Claimant; Reisman, W. M. - Respondent</t>
        </is>
      </c>
      <c r="R284" s="32" t="inlineStr"/>
      <c r="S284" s="32" t="inlineStr"/>
      <c r="T284" s="32" t="inlineStr">
        <is>
          <t>Inglés</t>
        </is>
      </c>
      <c r="U284" s="32" t="inlineStr">
        <is>
          <t>http://www.italaw.com/cases/387</t>
        </is>
      </c>
      <c r="V284" s="32" t="inlineStr">
        <is>
          <t>Sí</t>
        </is>
      </c>
    </row>
    <row r="285">
      <c r="A285" s="33" t="n">
        <v>284</v>
      </c>
      <c r="B285" s="33" t="inlineStr">
        <is>
          <t>Funnekotter v. Zimbabwe</t>
        </is>
      </c>
      <c r="C285" s="33" t="inlineStr">
        <is>
          <t>Bernardus Henricus Funnekotter and others v. Republic of Zimbabwe (ICSID Case No. ARB/05/6)</t>
        </is>
      </c>
      <c r="D285" s="33" t="inlineStr">
        <is>
          <t>Zimbabwe</t>
        </is>
      </c>
      <c r="E285" s="33" t="inlineStr">
        <is>
          <t>África Subsahariana</t>
        </is>
      </c>
      <c r="F285" s="33" t="inlineStr">
        <is>
          <t>Netherlands</t>
        </is>
      </c>
      <c r="G285" s="33" t="n">
        <v>2005</v>
      </c>
      <c r="H285" s="33" t="inlineStr">
        <is>
          <t>Sí con daños</t>
        </is>
      </c>
      <c r="I285" s="33" t="inlineStr">
        <is>
          <t>Sí</t>
        </is>
      </c>
      <c r="J285" s="33" t="inlineStr">
        <is>
          <t>TJE - Trato Justo y Equitativo | Expropiación | Cláusula Paraguas</t>
        </is>
      </c>
      <c r="K285" s="33" t="inlineStr">
        <is>
          <t>12.40 EUR (15.60 USD)</t>
        </is>
      </c>
      <c r="L285" s="33" t="inlineStr">
        <is>
          <t>8.20 EUR (10.60 USD)</t>
        </is>
      </c>
      <c r="M285" s="33" t="inlineStr">
        <is>
          <t>Primary - A - Agriculture, forestry and fishing</t>
        </is>
      </c>
      <c r="N285" s="33" t="inlineStr"/>
      <c r="O285" s="33" t="inlineStr">
        <is>
          <t>Netherlands - Zimbabwe BIT (1996)</t>
        </is>
      </c>
      <c r="P285" s="33" t="inlineStr"/>
      <c r="Q285" s="33" t="inlineStr">
        <is>
          <t>Guillaume, G. - President; Cass, R. A. - Claimant; Wasi Zafar, M. - Respondent</t>
        </is>
      </c>
      <c r="R285" s="33" t="inlineStr"/>
      <c r="S285" s="33" t="inlineStr"/>
      <c r="T285" s="33" t="inlineStr">
        <is>
          <t>Inglés</t>
        </is>
      </c>
      <c r="U285" s="33" t="inlineStr">
        <is>
          <t>http://italaw.com/cases/467</t>
        </is>
      </c>
      <c r="V285" s="33" t="inlineStr">
        <is>
          <t>Sí</t>
        </is>
      </c>
    </row>
    <row r="286">
      <c r="A286" s="32" t="n">
        <v>285</v>
      </c>
      <c r="B286" s="32" t="inlineStr">
        <is>
          <t>Helnan v. Egypt</t>
        </is>
      </c>
      <c r="C286" s="32" t="inlineStr">
        <is>
          <t>Helnan International Hotels A/S v. Arab Republic of Egypt (ICSID Case No. ARB/05/19)</t>
        </is>
      </c>
      <c r="D286" s="32" t="inlineStr">
        <is>
          <t>Egypt</t>
        </is>
      </c>
      <c r="E286" s="32" t="inlineStr">
        <is>
          <t>Medio Oriente/Norte África</t>
        </is>
      </c>
      <c r="F286" s="32" t="inlineStr">
        <is>
          <t>Denmark</t>
        </is>
      </c>
      <c r="G286" s="32" t="n">
        <v>2005</v>
      </c>
      <c r="H286" s="32" t="inlineStr">
        <is>
          <t>No - ganó el Estado</t>
        </is>
      </c>
      <c r="I286" s="32" t="inlineStr">
        <is>
          <t>No</t>
        </is>
      </c>
      <c r="J286" s="32" t="inlineStr">
        <is>
          <t>Expropiación</t>
        </is>
      </c>
      <c r="K286" s="32" t="inlineStr">
        <is>
          <t>41.50 EUR (65.70 USD)</t>
        </is>
      </c>
      <c r="L286" s="32" t="inlineStr"/>
      <c r="M286" s="32" t="inlineStr">
        <is>
          <t>Tertiary - I - Accommodation and food service activities</t>
        </is>
      </c>
      <c r="N286" s="32" t="inlineStr">
        <is>
          <t>Rescisión/terminación de contrato</t>
        </is>
      </c>
      <c r="O286" s="32" t="inlineStr">
        <is>
          <t>Denmark - Egypt BIT (1999)</t>
        </is>
      </c>
      <c r="P286" s="32" t="inlineStr"/>
      <c r="Q286" s="32" t="inlineStr">
        <is>
          <t>Derains, Y. - President; Lee, M. J. A. - Claimant; Dolzer, R. - Respondent</t>
        </is>
      </c>
      <c r="R286" s="32" t="inlineStr">
        <is>
          <t>ICSID annulment proceedings</t>
        </is>
      </c>
      <c r="S286" s="32" t="inlineStr">
        <is>
          <t>Award/decision partially annulled ICSID annulment proceedings</t>
        </is>
      </c>
      <c r="T286" s="32" t="inlineStr">
        <is>
          <t>Inglés</t>
        </is>
      </c>
      <c r="U286" s="32" t="inlineStr">
        <is>
          <t>http://italaw.com/cases/529</t>
        </is>
      </c>
      <c r="V286" s="32" t="inlineStr">
        <is>
          <t>Sí</t>
        </is>
      </c>
    </row>
    <row r="287">
      <c r="A287" s="31" t="n">
        <v>286</v>
      </c>
      <c r="B287" s="31" t="inlineStr">
        <is>
          <t>HEP v. Slovenia</t>
        </is>
      </c>
      <c r="C287" s="31" t="inlineStr">
        <is>
          <t>Hrvatska Elektroprivreda d.d. v. Republic of Slovenia (ICSID Case No. ARB/05/24)</t>
        </is>
      </c>
      <c r="D287" s="31" t="inlineStr">
        <is>
          <t>Slovenia</t>
        </is>
      </c>
      <c r="E287" s="31" t="inlineStr">
        <is>
          <t>Europa Occidental</t>
        </is>
      </c>
      <c r="F287" s="31" t="inlineStr">
        <is>
          <t>Croatia</t>
        </is>
      </c>
      <c r="G287" s="31" t="n">
        <v>2005</v>
      </c>
      <c r="H287" s="31" t="inlineStr">
        <is>
          <t>No - ganó el Estado</t>
        </is>
      </c>
      <c r="I287" s="31" t="inlineStr">
        <is>
          <t>No</t>
        </is>
      </c>
      <c r="J287" s="31" t="inlineStr"/>
      <c r="K287" s="31" t="inlineStr">
        <is>
          <t>5752.00 SIT (34.00 USD)</t>
        </is>
      </c>
      <c r="L287" s="31" t="inlineStr"/>
      <c r="M287" s="31" t="inlineStr">
        <is>
          <t>Tertiary - D - Electricity, gas, steam and air conditioning supply</t>
        </is>
      </c>
      <c r="N287" s="31" t="inlineStr"/>
      <c r="O287" s="31" t="inlineStr">
        <is>
          <t>The Energy Charter Treaty (1994)</t>
        </is>
      </c>
      <c r="P287" s="31" t="inlineStr"/>
      <c r="Q287" s="31" t="inlineStr">
        <is>
          <t>Williams, D. A. R. - President; Brower, C. N. - Claimant; Paulsson, J. - Respondent</t>
        </is>
      </c>
      <c r="R287" s="31" t="inlineStr"/>
      <c r="S287" s="31" t="inlineStr"/>
      <c r="T287" s="31" t="inlineStr"/>
      <c r="U287" s="31" t="inlineStr">
        <is>
          <t>Not available</t>
        </is>
      </c>
      <c r="V287" s="31" t="inlineStr">
        <is>
          <t>Pendiente</t>
        </is>
      </c>
    </row>
    <row r="288">
      <c r="A288" s="33" t="n">
        <v>287</v>
      </c>
      <c r="B288" s="33" t="inlineStr">
        <is>
          <t>Kardassopoulos v. Georgia</t>
        </is>
      </c>
      <c r="C288" s="33" t="inlineStr">
        <is>
          <t>Ioannis Kardassopoulos v. Georgia (ICSID Case No. ARB/05/18)</t>
        </is>
      </c>
      <c r="D288" s="33" t="inlineStr">
        <is>
          <t>Georgia</t>
        </is>
      </c>
      <c r="E288" s="33" t="inlineStr">
        <is>
          <t>Este Europa/Asia Central</t>
        </is>
      </c>
      <c r="F288" s="33" t="inlineStr">
        <is>
          <t>Greece</t>
        </is>
      </c>
      <c r="G288" s="33" t="n">
        <v>2005</v>
      </c>
      <c r="H288" s="33" t="inlineStr">
        <is>
          <t>Sí con daños</t>
        </is>
      </c>
      <c r="I288" s="33" t="inlineStr">
        <is>
          <t>Sí</t>
        </is>
      </c>
      <c r="J288" s="33" t="inlineStr">
        <is>
          <t>TJE - Trato Justo y Equitativo | Expropiación</t>
        </is>
      </c>
      <c r="K288" s="33" t="inlineStr">
        <is>
          <t>30.20 USD</t>
        </is>
      </c>
      <c r="L288" s="33" t="inlineStr">
        <is>
          <t>15.10 USD</t>
        </is>
      </c>
      <c r="M288" s="33" t="inlineStr">
        <is>
          <t>Tertiary - H - Transportation and storage</t>
        </is>
      </c>
      <c r="N288" s="33" t="inlineStr">
        <is>
          <t>Nacionalización</t>
        </is>
      </c>
      <c r="O288" s="33" t="inlineStr">
        <is>
          <t>Georgia - Greece BIT (1994);
The Energy Charter Treaty (1994)</t>
        </is>
      </c>
      <c r="P288" s="33" t="inlineStr"/>
      <c r="Q288" s="33" t="inlineStr">
        <is>
          <t>Fortier, L. Y. - President; Orrego Vicuña, F. - Claimant; Lowe, V. - Respondent; Watts, A. - Respondent (replaced)</t>
        </is>
      </c>
      <c r="R288" s="33" t="inlineStr">
        <is>
          <t>ICSID annulment proceedings</t>
        </is>
      </c>
      <c r="S288" s="33" t="inlineStr">
        <is>
          <t>Discontinued ICSID annulment proceedings</t>
        </is>
      </c>
      <c r="T288" s="33" t="inlineStr">
        <is>
          <t>Indeterminado</t>
        </is>
      </c>
      <c r="U288" s="33" t="inlineStr">
        <is>
          <t>http://italaw.com/cases/599</t>
        </is>
      </c>
      <c r="V288" s="33" t="inlineStr">
        <is>
          <t>Sí</t>
        </is>
      </c>
    </row>
    <row r="289">
      <c r="A289" s="32" t="n">
        <v>288</v>
      </c>
      <c r="B289" s="32" t="inlineStr">
        <is>
          <t>LESI v. Algeria</t>
        </is>
      </c>
      <c r="C289" s="32" t="inlineStr">
        <is>
          <t>LESI, S.p.A. and Astaldi, S.p.A. v. People's Democratic Republic of Algeria (ICSID Case No. ARB/05/3)</t>
        </is>
      </c>
      <c r="D289" s="32" t="inlineStr">
        <is>
          <t>Algeria</t>
        </is>
      </c>
      <c r="E289" s="32" t="inlineStr">
        <is>
          <t>Medio Oriente/Norte África</t>
        </is>
      </c>
      <c r="F289" s="32" t="inlineStr">
        <is>
          <t>Italy</t>
        </is>
      </c>
      <c r="G289" s="32" t="n">
        <v>2005</v>
      </c>
      <c r="H289" s="32" t="inlineStr">
        <is>
          <t>No - ganó el Estado</t>
        </is>
      </c>
      <c r="I289" s="32" t="inlineStr">
        <is>
          <t>No</t>
        </is>
      </c>
      <c r="J289" s="32" t="inlineStr">
        <is>
          <t>TJE - Trato Justo y Equitativo | Expropiación</t>
        </is>
      </c>
      <c r="K289" s="32" t="inlineStr"/>
      <c r="L289" s="32" t="inlineStr"/>
      <c r="M289" s="32" t="inlineStr">
        <is>
          <t>Tertiary - F - Construction</t>
        </is>
      </c>
      <c r="N289" s="32" t="inlineStr"/>
      <c r="O289" s="32" t="inlineStr">
        <is>
          <t>Algeria - Italy BIT (1991)</t>
        </is>
      </c>
      <c r="P289" s="32" t="inlineStr"/>
      <c r="Q289" s="32" t="inlineStr">
        <is>
          <t>Tercier, P. - President; Hanotiau, B. - Claimant; Gaillard, E. - Respondent</t>
        </is>
      </c>
      <c r="R289" s="32" t="inlineStr"/>
      <c r="S289" s="32" t="inlineStr"/>
      <c r="T289" s="32" t="inlineStr">
        <is>
          <t>Indeterminado</t>
        </is>
      </c>
      <c r="U289" s="32" t="inlineStr">
        <is>
          <t>http://italaw.com/cases/618</t>
        </is>
      </c>
      <c r="V289" s="32" t="inlineStr">
        <is>
          <t>Sí</t>
        </is>
      </c>
    </row>
    <row r="290">
      <c r="A290" s="32" t="n">
        <v>289</v>
      </c>
      <c r="B290" s="32" t="inlineStr">
        <is>
          <t>MHS v. Malaysia</t>
        </is>
      </c>
      <c r="C290" s="32" t="inlineStr">
        <is>
          <t>Malaysian Historical Salvors, SDN, BHD v. Malaysia (ICSID Case No. ARB/05/10)</t>
        </is>
      </c>
      <c r="D290" s="32" t="inlineStr">
        <is>
          <t>Malaysia</t>
        </is>
      </c>
      <c r="E290" s="32" t="inlineStr">
        <is>
          <t>Asia Sur-Este/Pacífico</t>
        </is>
      </c>
      <c r="F290" s="32" t="inlineStr">
        <is>
          <t>United Kingdom</t>
        </is>
      </c>
      <c r="G290" s="32" t="n">
        <v>2005</v>
      </c>
      <c r="H290" s="32" t="inlineStr">
        <is>
          <t>No - ganó el Estado</t>
        </is>
      </c>
      <c r="I290" s="32" t="inlineStr">
        <is>
          <t>No</t>
        </is>
      </c>
      <c r="J290" s="32" t="inlineStr">
        <is>
          <t>Expropiación | Cláusula Paraguas</t>
        </is>
      </c>
      <c r="K290" s="32" t="inlineStr">
        <is>
          <t>3.00 USD</t>
        </is>
      </c>
      <c r="L290" s="32" t="inlineStr"/>
      <c r="M290" s="32" t="inlineStr">
        <is>
          <t>Tertiary - H - Transportation and storage</t>
        </is>
      </c>
      <c r="N290" s="32" t="inlineStr">
        <is>
          <t>Nacionalización</t>
        </is>
      </c>
      <c r="O290" s="32" t="inlineStr">
        <is>
          <t>Malaysia - United Kingdom BIT (1981)</t>
        </is>
      </c>
      <c r="P290" s="32" t="inlineStr"/>
      <c r="Q290" s="32" t="inlineStr">
        <is>
          <t>Hwang, M. - Sole arbitrator</t>
        </is>
      </c>
      <c r="R290" s="32" t="inlineStr">
        <is>
          <t>ICSID annulment proceedings</t>
        </is>
      </c>
      <c r="S290" s="32" t="inlineStr">
        <is>
          <t>Award/decision annulled in its entirety ICSID annulment proceedings</t>
        </is>
      </c>
      <c r="T290" s="32" t="inlineStr">
        <is>
          <t>Inglés</t>
        </is>
      </c>
      <c r="U290" s="32" t="inlineStr">
        <is>
          <t>http://www.italaw.com/cases/646</t>
        </is>
      </c>
      <c r="V290" s="32" t="inlineStr">
        <is>
          <t>Sí</t>
        </is>
      </c>
    </row>
    <row r="291">
      <c r="A291" s="33" t="n">
        <v>290</v>
      </c>
      <c r="B291" s="33" t="inlineStr">
        <is>
          <t>Micula v. Romania (I)</t>
        </is>
      </c>
      <c r="C291" s="33" t="inlineStr">
        <is>
          <t>Ioan Micula, Viorel Micula and others v. Romania (I) (ICSID Case No. ARB/05/20)</t>
        </is>
      </c>
      <c r="D291" s="33" t="inlineStr">
        <is>
          <t>Romania</t>
        </is>
      </c>
      <c r="E291" s="33" t="inlineStr">
        <is>
          <t>Europa Occidental</t>
        </is>
      </c>
      <c r="F291" s="33" t="inlineStr">
        <is>
          <t>Sweden</t>
        </is>
      </c>
      <c r="G291" s="33" t="n">
        <v>2005</v>
      </c>
      <c r="H291" s="33" t="inlineStr">
        <is>
          <t>Sí con daños</t>
        </is>
      </c>
      <c r="I291" s="33" t="inlineStr">
        <is>
          <t>Sí</t>
        </is>
      </c>
      <c r="J291" s="33" t="inlineStr"/>
      <c r="K291" s="33" t="inlineStr">
        <is>
          <t>2698.00 RON (832.90 USD)</t>
        </is>
      </c>
      <c r="L291" s="33" t="inlineStr">
        <is>
          <t>376.40 RON (116.20 USD)</t>
        </is>
      </c>
      <c r="M291" s="33" t="inlineStr">
        <is>
          <t>Secondary - C - Manufacturing</t>
        </is>
      </c>
      <c r="N291" s="33" t="inlineStr"/>
      <c r="O291" s="33" t="inlineStr">
        <is>
          <t>Romania - Sweden BIT (2002)</t>
        </is>
      </c>
      <c r="P291" s="33" t="inlineStr"/>
      <c r="Q291" s="33" t="inlineStr">
        <is>
          <t>Lévy, L. - President; Alexandrov, S. A. - Claimant; Abi-Saab, G. - Respondent; Ehlermann, C.-D. - Respondent (replaced)</t>
        </is>
      </c>
      <c r="R291" s="33" t="inlineStr">
        <is>
          <t>ICSID annulment proceedings</t>
        </is>
      </c>
      <c r="S291" s="33" t="inlineStr">
        <is>
          <t>Award/decision upheld ICSID annulment proceedings</t>
        </is>
      </c>
      <c r="T291" s="33" t="inlineStr">
        <is>
          <t>Indeterminado</t>
        </is>
      </c>
      <c r="U291" s="33" t="inlineStr">
        <is>
          <t>http://www.italaw.com/cases/697</t>
        </is>
      </c>
      <c r="V291" s="33" t="inlineStr">
        <is>
          <t>Sí</t>
        </is>
      </c>
    </row>
    <row r="292">
      <c r="A292" s="32" t="n">
        <v>291</v>
      </c>
      <c r="B292" s="32" t="inlineStr">
        <is>
          <t>Parkerings v. Lithuania</t>
        </is>
      </c>
      <c r="C292" s="32" t="inlineStr">
        <is>
          <t>Parkerings-Compagniet AS v. Republic of Lithuania (ICSID Case No. ARB/05/8)</t>
        </is>
      </c>
      <c r="D292" s="32" t="inlineStr">
        <is>
          <t>Lithuania</t>
        </is>
      </c>
      <c r="E292" s="32" t="inlineStr">
        <is>
          <t>Europa Occidental</t>
        </is>
      </c>
      <c r="F292" s="32" t="inlineStr">
        <is>
          <t>Norway</t>
        </is>
      </c>
      <c r="G292" s="32" t="n">
        <v>2005</v>
      </c>
      <c r="H292" s="32" t="inlineStr">
        <is>
          <t>No - ganó el Estado</t>
        </is>
      </c>
      <c r="I292" s="32" t="inlineStr">
        <is>
          <t>No</t>
        </is>
      </c>
      <c r="J292" s="32" t="inlineStr">
        <is>
          <t>Expropiación</t>
        </is>
      </c>
      <c r="K292" s="32" t="inlineStr">
        <is>
          <t>176.40 NOK (25.90 USD)</t>
        </is>
      </c>
      <c r="L292" s="32" t="inlineStr"/>
      <c r="M292" s="32" t="inlineStr">
        <is>
          <t>Tertiary - F - Construction;
Tertiary - H - Transportation and storage</t>
        </is>
      </c>
      <c r="N292" s="32" t="inlineStr"/>
      <c r="O292" s="32" t="inlineStr">
        <is>
          <t>Lithuania - Norway BIT (1992)</t>
        </is>
      </c>
      <c r="P292" s="32" t="inlineStr"/>
      <c r="Q292" s="32" t="inlineStr">
        <is>
          <t>Lévy, L. - President; Lew, J. D. M. - Claimant; Lalonde, M. - Respondent</t>
        </is>
      </c>
      <c r="R292" s="32" t="inlineStr"/>
      <c r="S292" s="32" t="inlineStr"/>
      <c r="T292" s="32" t="inlineStr">
        <is>
          <t>Inglés</t>
        </is>
      </c>
      <c r="U292" s="32" t="inlineStr">
        <is>
          <t>http://www.italaw.com/cases/812</t>
        </is>
      </c>
      <c r="V292" s="32" t="inlineStr">
        <is>
          <t>Sí</t>
        </is>
      </c>
    </row>
    <row r="293">
      <c r="A293" s="33" t="n">
        <v>292</v>
      </c>
      <c r="B293" s="33" t="inlineStr">
        <is>
          <t>Rumeli v. Kazakhstan</t>
        </is>
      </c>
      <c r="C293" s="33" t="inlineStr">
        <is>
          <t>Rumeli Telekom A.S. and Telsim Mobil Telekomunikasyon Hizmetleri A.S. v. Republic of Kazakhstan (ICSID Case No. ARB/05/16)</t>
        </is>
      </c>
      <c r="D293" s="33" t="inlineStr">
        <is>
          <t>Kazakhstan</t>
        </is>
      </c>
      <c r="E293" s="33" t="inlineStr">
        <is>
          <t>Este Europa/Asia Central</t>
        </is>
      </c>
      <c r="F293" s="33" t="inlineStr">
        <is>
          <t>Türkiye</t>
        </is>
      </c>
      <c r="G293" s="33" t="n">
        <v>2005</v>
      </c>
      <c r="H293" s="33" t="inlineStr">
        <is>
          <t>Sí con daños</t>
        </is>
      </c>
      <c r="I293" s="33" t="inlineStr">
        <is>
          <t>Sí</t>
        </is>
      </c>
      <c r="J293" s="33" t="inlineStr">
        <is>
          <t>TJE - Trato Justo y Equitativo | Expropiación</t>
        </is>
      </c>
      <c r="K293" s="33" t="inlineStr">
        <is>
          <t>458.00 USD</t>
        </is>
      </c>
      <c r="L293" s="33" t="inlineStr">
        <is>
          <t>125.00 USD</t>
        </is>
      </c>
      <c r="M293" s="33" t="inlineStr">
        <is>
          <t>Tertiary - J - Information and communication</t>
        </is>
      </c>
      <c r="N293" s="33" t="inlineStr">
        <is>
          <t>Nacionalización</t>
        </is>
      </c>
      <c r="O293" s="33" t="inlineStr">
        <is>
          <t>Kazakhstan - Turkey BIT (1992)</t>
        </is>
      </c>
      <c r="P293" s="33" t="inlineStr"/>
      <c r="Q293" s="33" t="inlineStr">
        <is>
          <t>Hanotiau, B. - President; Lalonde, M. - Claimant; Boyd, S. - Respondent</t>
        </is>
      </c>
      <c r="R293" s="33" t="inlineStr">
        <is>
          <t>ICSID annulment proceedings</t>
        </is>
      </c>
      <c r="S293" s="33" t="inlineStr">
        <is>
          <t>Award/decision upheld ICSID annulment proceedings</t>
        </is>
      </c>
      <c r="T293" s="33" t="inlineStr">
        <is>
          <t>Indeterminado</t>
        </is>
      </c>
      <c r="U293" s="33" t="inlineStr">
        <is>
          <t>http://italaw.com/cases/942</t>
        </is>
      </c>
      <c r="V293" s="33" t="inlineStr">
        <is>
          <t>Sí</t>
        </is>
      </c>
    </row>
    <row r="294">
      <c r="A294" s="33" t="n">
        <v>293</v>
      </c>
      <c r="B294" s="33" t="inlineStr">
        <is>
          <t>Saipem v. Bangladesh</t>
        </is>
      </c>
      <c r="C294" s="33" t="inlineStr">
        <is>
          <t>Saipem S.p.A. v. People's Republic of Bangladesh (ICSID Case No. ARB/05/7)</t>
        </is>
      </c>
      <c r="D294" s="33" t="inlineStr">
        <is>
          <t>Bangladesh</t>
        </is>
      </c>
      <c r="E294" s="33" t="inlineStr">
        <is>
          <t>Asia Sur-Este/Pacífico</t>
        </is>
      </c>
      <c r="F294" s="33" t="inlineStr">
        <is>
          <t>Italy</t>
        </is>
      </c>
      <c r="G294" s="33" t="n">
        <v>2005</v>
      </c>
      <c r="H294" s="33" t="inlineStr">
        <is>
          <t>Sí con daños</t>
        </is>
      </c>
      <c r="I294" s="33" t="inlineStr">
        <is>
          <t>Sí</t>
        </is>
      </c>
      <c r="J294" s="33" t="inlineStr">
        <is>
          <t>TJE - Trato Justo y Equitativo | Expropiación</t>
        </is>
      </c>
      <c r="K294" s="33" t="inlineStr">
        <is>
          <t>12.50 USD</t>
        </is>
      </c>
      <c r="L294" s="33" t="inlineStr">
        <is>
          <t>6.30 USD</t>
        </is>
      </c>
      <c r="M294" s="33" t="inlineStr">
        <is>
          <t>Tertiary - F - Construction</t>
        </is>
      </c>
      <c r="N294" s="33" t="inlineStr"/>
      <c r="O294" s="33" t="inlineStr">
        <is>
          <t>Bangladesh - Italy BIT (1990)</t>
        </is>
      </c>
      <c r="P294" s="33" t="inlineStr"/>
      <c r="Q294" s="33" t="inlineStr">
        <is>
          <t>Kaufmann-Kohler, G. - President; Schreuer, C. H. - Claimant; Otton, P. - Respondent</t>
        </is>
      </c>
      <c r="R294" s="33" t="inlineStr"/>
      <c r="S294" s="33" t="inlineStr"/>
      <c r="T294" s="33" t="inlineStr">
        <is>
          <t>Indeterminado</t>
        </is>
      </c>
      <c r="U294" s="33" t="inlineStr">
        <is>
          <t>http://italaw.com/cases/951</t>
        </is>
      </c>
      <c r="V294" s="33" t="inlineStr">
        <is>
          <t>Sí</t>
        </is>
      </c>
    </row>
    <row r="295">
      <c r="A295" s="33" t="n">
        <v>294</v>
      </c>
      <c r="B295" s="33" t="inlineStr">
        <is>
          <t>Siag v. Egypt</t>
        </is>
      </c>
      <c r="C295" s="33" t="inlineStr">
        <is>
          <t>Waguih Elie George Siag and Clorinda Vecchi v. Arab Republic of Egypt (ICSID Case No. ARB/05/15)</t>
        </is>
      </c>
      <c r="D295" s="33" t="inlineStr">
        <is>
          <t>Egypt</t>
        </is>
      </c>
      <c r="E295" s="33" t="inlineStr">
        <is>
          <t>Medio Oriente/Norte África</t>
        </is>
      </c>
      <c r="F295" s="33" t="inlineStr">
        <is>
          <t>Italy</t>
        </is>
      </c>
      <c r="G295" s="33" t="n">
        <v>2005</v>
      </c>
      <c r="H295" s="33" t="inlineStr">
        <is>
          <t>Sí con daños</t>
        </is>
      </c>
      <c r="I295" s="33" t="inlineStr">
        <is>
          <t>Sí</t>
        </is>
      </c>
      <c r="J295" s="33" t="inlineStr">
        <is>
          <t>TJE - Trato Justo y Equitativo | Expropiación | NMF - Nación Más Favorecida</t>
        </is>
      </c>
      <c r="K295" s="33" t="inlineStr">
        <is>
          <t>230.00 USD</t>
        </is>
      </c>
      <c r="L295" s="33" t="inlineStr">
        <is>
          <t>74.55 USD</t>
        </is>
      </c>
      <c r="M295" s="33" t="inlineStr">
        <is>
          <t>Tertiary - L - Real estate activities</t>
        </is>
      </c>
      <c r="N295" s="33" t="inlineStr">
        <is>
          <t>Nacionalización</t>
        </is>
      </c>
      <c r="O295" s="33" t="inlineStr">
        <is>
          <t>Egypt - Italy BIT (1989)</t>
        </is>
      </c>
      <c r="P295" s="33" t="inlineStr"/>
      <c r="Q295" s="33" t="inlineStr">
        <is>
          <t>Williams, D. A. R. - President; Pryles, M. C. - Claimant; Orrego Vicuña, F. - Respondent</t>
        </is>
      </c>
      <c r="R295" s="33" t="inlineStr">
        <is>
          <t>ICSID annulment proceedings;
Judicial review by national courts</t>
        </is>
      </c>
      <c r="S295" s="33" t="inlineStr">
        <is>
          <t>Discontinued ICSID annulment proceedings;
Award/decision upheld Judicial review by national courts</t>
        </is>
      </c>
      <c r="T295" s="33" t="inlineStr">
        <is>
          <t>Indeterminado</t>
        </is>
      </c>
      <c r="U295" s="33" t="inlineStr">
        <is>
          <t>http://italaw.com/cases/1022</t>
        </is>
      </c>
      <c r="V295" s="33" t="inlineStr">
        <is>
          <t>Sí</t>
        </is>
      </c>
    </row>
    <row r="296">
      <c r="A296" s="32" t="n">
        <v>295</v>
      </c>
      <c r="B296" s="32" t="inlineStr">
        <is>
          <t>TSA Spectrum v. Argentina</t>
        </is>
      </c>
      <c r="C296" s="32" t="inlineStr">
        <is>
          <t>TSA Spectrum de Argentina S.A. v. Argentine Republic (ICSID Case No. ARB/05/5)</t>
        </is>
      </c>
      <c r="D296" s="32" t="inlineStr">
        <is>
          <t>Argentina</t>
        </is>
      </c>
      <c r="E296" s="32" t="inlineStr">
        <is>
          <t>América del Sur</t>
        </is>
      </c>
      <c r="F296" s="32" t="inlineStr">
        <is>
          <t>Netherlands</t>
        </is>
      </c>
      <c r="G296" s="32" t="n">
        <v>2005</v>
      </c>
      <c r="H296" s="32" t="inlineStr">
        <is>
          <t>No - ganó el Estado</t>
        </is>
      </c>
      <c r="I296" s="32" t="inlineStr">
        <is>
          <t>No</t>
        </is>
      </c>
      <c r="J296" s="32" t="inlineStr">
        <is>
          <t>Expropiación</t>
        </is>
      </c>
      <c r="K296" s="32" t="inlineStr"/>
      <c r="L296" s="32" t="inlineStr"/>
      <c r="M296" s="32" t="inlineStr">
        <is>
          <t>Tertiary - J - Information and communication</t>
        </is>
      </c>
      <c r="N296" s="32" t="inlineStr">
        <is>
          <t>Nacionalización</t>
        </is>
      </c>
      <c r="O296" s="32" t="inlineStr">
        <is>
          <t>Argentina - Netherlands BIT (1992)</t>
        </is>
      </c>
      <c r="P296" s="32" t="inlineStr">
        <is>
          <t>100% (wholly owned)</t>
        </is>
      </c>
      <c r="Q296" s="32" t="inlineStr">
        <is>
          <t>Danelius, H. - President; Aldonas, G. D. - Claimant; Abi-Saab, G. - Respondent</t>
        </is>
      </c>
      <c r="R296" s="32" t="inlineStr"/>
      <c r="S296" s="32" t="inlineStr"/>
      <c r="T296" s="32" t="inlineStr">
        <is>
          <t>Inglés</t>
        </is>
      </c>
      <c r="U296" s="32" t="inlineStr">
        <is>
          <t>http://www.italaw.com/cases/1118</t>
        </is>
      </c>
      <c r="V296" s="32" t="inlineStr">
        <is>
          <t>Sí</t>
        </is>
      </c>
    </row>
    <row r="297">
      <c r="A297" s="32" t="n">
        <v>296</v>
      </c>
      <c r="B297" s="32" t="inlineStr">
        <is>
          <t>ABCI Investments v. Tunisia</t>
        </is>
      </c>
      <c r="C297" s="32" t="inlineStr">
        <is>
          <t>ABCI Investments Limited v. Republic of Tunisia (ICSID Case No. ARB/04/12)</t>
        </is>
      </c>
      <c r="D297" s="32" t="inlineStr">
        <is>
          <t>Tunisia</t>
        </is>
      </c>
      <c r="E297" s="32" t="inlineStr">
        <is>
          <t>Medio Oriente/Norte África</t>
        </is>
      </c>
      <c r="F297" s="32" t="inlineStr">
        <is>
          <t>Netherlands</t>
        </is>
      </c>
      <c r="G297" s="32" t="n">
        <v>2004</v>
      </c>
      <c r="H297" s="32" t="inlineStr">
        <is>
          <t>No - ganó el Estado</t>
        </is>
      </c>
      <c r="I297" s="32" t="inlineStr">
        <is>
          <t>No</t>
        </is>
      </c>
      <c r="J297" s="32" t="inlineStr">
        <is>
          <t>TJE - Trato Justo y Equitativo | Expropiación</t>
        </is>
      </c>
      <c r="K297" s="32" t="inlineStr"/>
      <c r="L297" s="32" t="inlineStr"/>
      <c r="M297" s="32" t="inlineStr">
        <is>
          <t>Tertiary - K - Financial and insurance activities</t>
        </is>
      </c>
      <c r="N297" s="32" t="inlineStr"/>
      <c r="O297" s="32" t="inlineStr">
        <is>
          <t>Netherlands - Tunisia BIT (1963);
Netherlands - Tunisia BIT (1998)</t>
        </is>
      </c>
      <c r="P297" s="32" t="inlineStr"/>
      <c r="Q297" s="32" t="inlineStr">
        <is>
          <t>Orrego Vicuña, F. - President (replaced); Bernardini, P. - Claimant (replaced); Kaufmann-Kohler, G. - Respondent (replaced); Stern, B. - Respondent (replaced); Hanotiau, B. - President; Fortier, L. Y. - Claimant; Tercier, P. - Respondent</t>
        </is>
      </c>
      <c r="R297" s="32" t="inlineStr"/>
      <c r="S297" s="32" t="inlineStr"/>
      <c r="T297" s="32" t="inlineStr">
        <is>
          <t>Indeterminado</t>
        </is>
      </c>
      <c r="U297" s="32" t="inlineStr">
        <is>
          <t>http://www.italaw.com/cases/37</t>
        </is>
      </c>
      <c r="V297" s="32" t="inlineStr">
        <is>
          <t>Sí</t>
        </is>
      </c>
    </row>
    <row r="298">
      <c r="A298" s="33" t="n">
        <v>297</v>
      </c>
      <c r="B298" s="33" t="inlineStr">
        <is>
          <t>ADM v. Mexico</t>
        </is>
      </c>
      <c r="C298" s="33" t="inlineStr">
        <is>
          <t>Archer Daniels Midland and Tate &amp; Lyle Ingredients Americas, Inc. v. United Mexican States (ICSID Case No. ARB(AF)/04/5)</t>
        </is>
      </c>
      <c r="D298" s="33" t="inlineStr">
        <is>
          <t>Mexico</t>
        </is>
      </c>
      <c r="E298" s="33" t="inlineStr">
        <is>
          <t>América del Norte</t>
        </is>
      </c>
      <c r="F298" s="33" t="inlineStr">
        <is>
          <t>United States of America</t>
        </is>
      </c>
      <c r="G298" s="33" t="n">
        <v>2004</v>
      </c>
      <c r="H298" s="33" t="inlineStr">
        <is>
          <t>Sí con daños</t>
        </is>
      </c>
      <c r="I298" s="33" t="inlineStr">
        <is>
          <t>Sí</t>
        </is>
      </c>
      <c r="J298" s="33" t="inlineStr">
        <is>
          <t>Expropiación</t>
        </is>
      </c>
      <c r="K298" s="33" t="inlineStr">
        <is>
          <t>100.00 USD</t>
        </is>
      </c>
      <c r="L298" s="33" t="inlineStr">
        <is>
          <t>33.50 USD</t>
        </is>
      </c>
      <c r="M298" s="33" t="inlineStr">
        <is>
          <t>Secondary - C - Manufacturing</t>
        </is>
      </c>
      <c r="N298" s="33" t="inlineStr"/>
      <c r="O298" s="33" t="inlineStr">
        <is>
          <t>NAFTA (1992)</t>
        </is>
      </c>
      <c r="P298" s="33" t="inlineStr"/>
      <c r="Q298" s="33" t="inlineStr">
        <is>
          <t>Cremades, B. M. - President; Rovine, A. W. - Unknown; Siqueiros, E. - Unknown</t>
        </is>
      </c>
      <c r="R298" s="33" t="inlineStr"/>
      <c r="S298" s="33" t="inlineStr"/>
      <c r="T298" s="33" t="inlineStr">
        <is>
          <t>Indeterminado</t>
        </is>
      </c>
      <c r="U298" s="33" t="inlineStr">
        <is>
          <t>http://www.italaw.com/cases/91</t>
        </is>
      </c>
      <c r="V298" s="33" t="inlineStr">
        <is>
          <t>Sí</t>
        </is>
      </c>
    </row>
    <row r="299">
      <c r="A299" s="33" t="n">
        <v>298</v>
      </c>
      <c r="B299" s="33" t="inlineStr">
        <is>
          <t>Corn Products v. Mexico</t>
        </is>
      </c>
      <c r="C299" s="33" t="inlineStr">
        <is>
          <t>Corn Products International, Inc. v. United Mexican States (ICSID Case No. ARB(AF)/04/1)</t>
        </is>
      </c>
      <c r="D299" s="33" t="inlineStr">
        <is>
          <t>Mexico</t>
        </is>
      </c>
      <c r="E299" s="33" t="inlineStr">
        <is>
          <t>América del Norte</t>
        </is>
      </c>
      <c r="F299" s="33" t="inlineStr">
        <is>
          <t>United States of America</t>
        </is>
      </c>
      <c r="G299" s="33" t="n">
        <v>2004</v>
      </c>
      <c r="H299" s="33" t="inlineStr">
        <is>
          <t>Sí con daños</t>
        </is>
      </c>
      <c r="I299" s="33" t="inlineStr">
        <is>
          <t>Sí</t>
        </is>
      </c>
      <c r="J299" s="33" t="inlineStr"/>
      <c r="K299" s="33" t="inlineStr">
        <is>
          <t>325.00 USD</t>
        </is>
      </c>
      <c r="L299" s="33" t="inlineStr">
        <is>
          <t>58.00 USD</t>
        </is>
      </c>
      <c r="M299" s="33" t="inlineStr">
        <is>
          <t>Secondary - C - Manufacturing</t>
        </is>
      </c>
      <c r="N299" s="33" t="inlineStr"/>
      <c r="O299" s="33" t="inlineStr">
        <is>
          <t>NAFTA (1992)</t>
        </is>
      </c>
      <c r="P299" s="33" t="inlineStr"/>
      <c r="Q299" s="33" t="inlineStr">
        <is>
          <t>Greenwood, C. - President; Lowenfeld, A. F. - Claimant; Serrano de la Vega, J. - Respondent; Tron, M. - Respondent (replaced)</t>
        </is>
      </c>
      <c r="R299" s="33" t="inlineStr"/>
      <c r="S299" s="33" t="inlineStr"/>
      <c r="T299" s="33" t="inlineStr">
        <is>
          <t>Indeterminado</t>
        </is>
      </c>
      <c r="U299" s="33" t="inlineStr">
        <is>
          <t>http://www.italaw.com/cases/345</t>
        </is>
      </c>
      <c r="V299" s="33" t="inlineStr">
        <is>
          <t>Sí</t>
        </is>
      </c>
    </row>
    <row r="300">
      <c r="A300" s="33" t="n">
        <v>299</v>
      </c>
      <c r="B300" s="33" t="inlineStr">
        <is>
          <t>Duke Energy v. Ecuador</t>
        </is>
      </c>
      <c r="C300" s="33" t="inlineStr">
        <is>
          <t>Duke Energy Electroquil Partners and Electroquil S.A. v. Republic of Ecuador (ICSID Case No. ARB/04/19)</t>
        </is>
      </c>
      <c r="D300" s="33" t="inlineStr">
        <is>
          <t>Ecuador</t>
        </is>
      </c>
      <c r="E300" s="33" t="inlineStr">
        <is>
          <t>América del Sur</t>
        </is>
      </c>
      <c r="F300" s="33" t="inlineStr">
        <is>
          <t>United States of America</t>
        </is>
      </c>
      <c r="G300" s="33" t="n">
        <v>2004</v>
      </c>
      <c r="H300" s="33" t="inlineStr">
        <is>
          <t>Sí con daños</t>
        </is>
      </c>
      <c r="I300" s="33" t="inlineStr">
        <is>
          <t>Sí</t>
        </is>
      </c>
      <c r="J300" s="33" t="inlineStr">
        <is>
          <t>TJE - Trato Justo y Equitativo</t>
        </is>
      </c>
      <c r="K300" s="33" t="inlineStr">
        <is>
          <t>25.00 USD</t>
        </is>
      </c>
      <c r="L300" s="33" t="inlineStr">
        <is>
          <t>5.60 USD</t>
        </is>
      </c>
      <c r="M300" s="33" t="inlineStr">
        <is>
          <t>Tertiary - D - Electricity, gas, steam and air conditioning supply</t>
        </is>
      </c>
      <c r="N300" s="33" t="inlineStr">
        <is>
          <t>Medida fiscal/impositiva | Decreto de emergencia</t>
        </is>
      </c>
      <c r="O300" s="33" t="inlineStr">
        <is>
          <t>Ecuador - United States of America BIT (1993)</t>
        </is>
      </c>
      <c r="P300" s="33" t="inlineStr"/>
      <c r="Q300" s="33" t="inlineStr">
        <is>
          <t>Kaufmann-Kohler, G. - President; Gómez-Pinzón, E. - Claimant; van den Berg, A. J. - Respondent</t>
        </is>
      </c>
      <c r="R300" s="33" t="inlineStr"/>
      <c r="S300" s="33" t="inlineStr"/>
      <c r="T300" s="33" t="inlineStr">
        <is>
          <t>Indeterminado</t>
        </is>
      </c>
      <c r="U300" s="33" t="inlineStr">
        <is>
          <t>http://www.italaw.com/cases/356</t>
        </is>
      </c>
      <c r="V300" s="33" t="inlineStr">
        <is>
          <t>Sí</t>
        </is>
      </c>
    </row>
    <row r="301">
      <c r="A301" s="33" t="n">
        <v>300</v>
      </c>
      <c r="B301" s="33" t="inlineStr">
        <is>
          <t>Gemplus v. Mexico</t>
        </is>
      </c>
      <c r="C301" s="33" t="inlineStr">
        <is>
          <t>Gemplus, S.A., SLP, S.A., and Gemplus Industrial S.A. de C.V. v. United Mexican States (ICSID Case No. ARB(AF)/04/3)</t>
        </is>
      </c>
      <c r="D301" s="33" t="inlineStr">
        <is>
          <t>Mexico</t>
        </is>
      </c>
      <c r="E301" s="33" t="inlineStr">
        <is>
          <t>América del Norte</t>
        </is>
      </c>
      <c r="F301" s="33" t="inlineStr">
        <is>
          <t>France</t>
        </is>
      </c>
      <c r="G301" s="33" t="n">
        <v>2004</v>
      </c>
      <c r="H301" s="33" t="inlineStr">
        <is>
          <t>Sí con daños</t>
        </is>
      </c>
      <c r="I301" s="33" t="inlineStr">
        <is>
          <t>Sí</t>
        </is>
      </c>
      <c r="J301" s="33" t="inlineStr">
        <is>
          <t>TJE - Trato Justo y Equitativo | Expropiación | Protección y Seguridad Plenas</t>
        </is>
      </c>
      <c r="K301" s="33" t="inlineStr">
        <is>
          <t>340.00 MXN (37.00 USD)</t>
        </is>
      </c>
      <c r="L301" s="33" t="inlineStr">
        <is>
          <t>4.50 USD</t>
        </is>
      </c>
      <c r="M301" s="33" t="inlineStr">
        <is>
          <t>Tertiary - M - Professional, scientific and technical activities</t>
        </is>
      </c>
      <c r="N301" s="33" t="inlineStr"/>
      <c r="O301" s="33" t="inlineStr">
        <is>
          <t>France - Mexico BIT (1998)</t>
        </is>
      </c>
      <c r="P301" s="33" t="inlineStr"/>
      <c r="Q301" s="33" t="inlineStr">
        <is>
          <t>Veeder, V. V. - President; Fortier, L. Y. - Claimant; Magallón Gómez, E. - Respondent</t>
        </is>
      </c>
      <c r="R301" s="33" t="inlineStr"/>
      <c r="S301" s="33" t="inlineStr"/>
      <c r="T301" s="33" t="inlineStr">
        <is>
          <t>Indeterminado</t>
        </is>
      </c>
      <c r="U301" s="33" t="inlineStr">
        <is>
          <t>http://www.italaw.com/cases/480</t>
        </is>
      </c>
      <c r="V301" s="33" t="inlineStr">
        <is>
          <t>Sí</t>
        </is>
      </c>
    </row>
    <row r="302">
      <c r="A302" s="32" t="n">
        <v>301</v>
      </c>
      <c r="B302" s="32" t="inlineStr">
        <is>
          <t>Jan de Nul and and Dredging International v. Egypt</t>
        </is>
      </c>
      <c r="C302" s="32" t="inlineStr">
        <is>
          <t>Jan de Nul N.V. and Dredging International N.V. v. Arab Republic of Egypt (ICSID Case No. ARB/04/13)</t>
        </is>
      </c>
      <c r="D302" s="32" t="inlineStr">
        <is>
          <t>Egypt</t>
        </is>
      </c>
      <c r="E302" s="32" t="inlineStr">
        <is>
          <t>Medio Oriente/Norte África</t>
        </is>
      </c>
      <c r="F302" s="32" t="inlineStr">
        <is>
          <t>Belgium</t>
        </is>
      </c>
      <c r="G302" s="32" t="n">
        <v>2004</v>
      </c>
      <c r="H302" s="32" t="inlineStr">
        <is>
          <t>No - ganó el Estado</t>
        </is>
      </c>
      <c r="I302" s="32" t="inlineStr">
        <is>
          <t>No</t>
        </is>
      </c>
      <c r="J302" s="32" t="inlineStr">
        <is>
          <t>TJE - Trato Justo y Equitativo | Expropiación</t>
        </is>
      </c>
      <c r="K302" s="32" t="inlineStr">
        <is>
          <t>80.00 USD</t>
        </is>
      </c>
      <c r="L302" s="32" t="inlineStr"/>
      <c r="M302" s="32" t="inlineStr">
        <is>
          <t>Tertiary - F - Construction</t>
        </is>
      </c>
      <c r="N302" s="32" t="inlineStr">
        <is>
          <t>Nacionalización</t>
        </is>
      </c>
      <c r="O302" s="32" t="inlineStr">
        <is>
          <t>BLEU (Belgium-Luxembourg Economic Union) - Egypt BIT (1977);
BLEU (Belgium-Luxembourg Economic Union) - Egypt BIT (1999)</t>
        </is>
      </c>
      <c r="P302" s="32" t="inlineStr"/>
      <c r="Q302" s="32" t="inlineStr">
        <is>
          <t>Kaufmann-Kohler, G. - President; Mayer, P. - Claimant; Stern, B. - Respondent</t>
        </is>
      </c>
      <c r="R302" s="32" t="inlineStr"/>
      <c r="S302" s="32" t="inlineStr"/>
      <c r="T302" s="32" t="inlineStr">
        <is>
          <t>Indeterminado</t>
        </is>
      </c>
      <c r="U302" s="32" t="inlineStr">
        <is>
          <t>http://www.italaw.com/cases/587</t>
        </is>
      </c>
      <c r="V302" s="32" t="inlineStr">
        <is>
          <t>Sí</t>
        </is>
      </c>
    </row>
    <row r="303">
      <c r="A303" s="33" t="n">
        <v>302</v>
      </c>
      <c r="B303" s="33" t="inlineStr">
        <is>
          <t>Mobil v. Argentina</t>
        </is>
      </c>
      <c r="C303" s="33" t="inlineStr">
        <is>
          <t>Mobil Exploration and Development Inc. Suc. Argentina and Mobil Argentina S.A. v. Argentine Republic (ICSID Case No. ARB/04/16)</t>
        </is>
      </c>
      <c r="D303" s="33" t="inlineStr">
        <is>
          <t>Argentina</t>
        </is>
      </c>
      <c r="E303" s="33" t="inlineStr">
        <is>
          <t>América del Sur</t>
        </is>
      </c>
      <c r="F303" s="33" t="inlineStr">
        <is>
          <t>United States of America</t>
        </is>
      </c>
      <c r="G303" s="33" t="n">
        <v>2004</v>
      </c>
      <c r="H303" s="33" t="inlineStr">
        <is>
          <t>Sí con daños</t>
        </is>
      </c>
      <c r="I303" s="33" t="inlineStr">
        <is>
          <t>Sí</t>
        </is>
      </c>
      <c r="J303" s="33" t="inlineStr">
        <is>
          <t>TJE - Trato Justo y Equitativo</t>
        </is>
      </c>
      <c r="K303" s="33" t="inlineStr">
        <is>
          <t>513.50 USD</t>
        </is>
      </c>
      <c r="L303" s="33" t="inlineStr">
        <is>
          <t>196.20 USD</t>
        </is>
      </c>
      <c r="M303" s="33" t="inlineStr">
        <is>
          <t>Primary - B - Mining and quarrying</t>
        </is>
      </c>
      <c r="N303" s="33" t="inlineStr">
        <is>
          <t>Medida fiscal/impositiva | Medidas de emergencia económica (pesificación/corralito)</t>
        </is>
      </c>
      <c r="O303" s="33" t="inlineStr">
        <is>
          <t>Argentina - United States of America BIT (1991)</t>
        </is>
      </c>
      <c r="P303" s="33" t="inlineStr"/>
      <c r="Q303" s="33" t="inlineStr">
        <is>
          <t>Moller, G. - President; Bernardini, P. - Claimant; Remiro Brotóns, A. - Respondent</t>
        </is>
      </c>
      <c r="R303" s="33" t="inlineStr">
        <is>
          <t>ICSID annulment proceedings</t>
        </is>
      </c>
      <c r="S303" s="33" t="inlineStr">
        <is>
          <t>Award/decision upheld ICSID annulment proceedings</t>
        </is>
      </c>
      <c r="T303" s="33" t="inlineStr">
        <is>
          <t>Indeterminado</t>
        </is>
      </c>
      <c r="U303" s="33" t="inlineStr">
        <is>
          <t>http://www.italaw.com/cases/2183</t>
        </is>
      </c>
      <c r="V303" s="33" t="inlineStr">
        <is>
          <t>Sí</t>
        </is>
      </c>
    </row>
    <row r="304">
      <c r="A304" s="33" t="n">
        <v>303</v>
      </c>
      <c r="B304" s="33" t="inlineStr">
        <is>
          <t>OKO v. Estonia</t>
        </is>
      </c>
      <c r="C304" s="33" t="inlineStr">
        <is>
          <t>OKO Pankki Oyj and others (formerly OKO Osuuspankkien Keskuspankki Oyj and others) v. Republic of Estonia (ICSID Case No. ARB/04/6)</t>
        </is>
      </c>
      <c r="D304" s="33" t="inlineStr">
        <is>
          <t>Estonia</t>
        </is>
      </c>
      <c r="E304" s="33" t="inlineStr">
        <is>
          <t>Europa Occidental</t>
        </is>
      </c>
      <c r="F304" s="33" t="inlineStr">
        <is>
          <t>Finland</t>
        </is>
      </c>
      <c r="G304" s="33" t="n">
        <v>2004</v>
      </c>
      <c r="H304" s="33" t="inlineStr">
        <is>
          <t>Sí con daños</t>
        </is>
      </c>
      <c r="I304" s="33" t="inlineStr">
        <is>
          <t>Sí</t>
        </is>
      </c>
      <c r="J304" s="33" t="inlineStr">
        <is>
          <t>TJE - Trato Justo y Equitativo</t>
        </is>
      </c>
      <c r="K304" s="33" t="inlineStr">
        <is>
          <t>24.00 EUR (30.00 USD)</t>
        </is>
      </c>
      <c r="L304" s="33" t="inlineStr">
        <is>
          <t>12.00 EUR (17.70 USD)</t>
        </is>
      </c>
      <c r="M304" s="33" t="inlineStr">
        <is>
          <t>Tertiary - K - Financial and insurance activities</t>
        </is>
      </c>
      <c r="N304" s="33" t="inlineStr"/>
      <c r="O304" s="33" t="inlineStr">
        <is>
          <t>Estonia - Germany BIT (1992);
Estonia - Finland BIT (1992)</t>
        </is>
      </c>
      <c r="P304" s="33" t="inlineStr"/>
      <c r="Q304" s="33" t="inlineStr">
        <is>
          <t>De Witt Wijnen, O. L. O. - President; Veeder, V. V. - Claimant; Fortier, L. Y. - Respondent</t>
        </is>
      </c>
      <c r="R304" s="33" t="inlineStr"/>
      <c r="S304" s="33" t="inlineStr"/>
      <c r="T304" s="33" t="inlineStr">
        <is>
          <t>Indeterminado</t>
        </is>
      </c>
      <c r="U304" s="33" t="inlineStr">
        <is>
          <t>http://www.italaw.com/cases/770</t>
        </is>
      </c>
      <c r="V304" s="33" t="inlineStr">
        <is>
          <t>Sí</t>
        </is>
      </c>
    </row>
    <row r="305">
      <c r="A305" s="33" t="n">
        <v>304</v>
      </c>
      <c r="B305" s="33" t="inlineStr">
        <is>
          <t>SAUR v. Argentina</t>
        </is>
      </c>
      <c r="C305" s="33" t="inlineStr">
        <is>
          <t>SAUR International v. Argentine Republic (ICSID Case No. ARB/04/4)</t>
        </is>
      </c>
      <c r="D305" s="33" t="inlineStr">
        <is>
          <t>Argentina</t>
        </is>
      </c>
      <c r="E305" s="33" t="inlineStr">
        <is>
          <t>América del Sur</t>
        </is>
      </c>
      <c r="F305" s="33" t="inlineStr">
        <is>
          <t>France</t>
        </is>
      </c>
      <c r="G305" s="33" t="n">
        <v>2004</v>
      </c>
      <c r="H305" s="33" t="inlineStr">
        <is>
          <t>Sí con daños</t>
        </is>
      </c>
      <c r="I305" s="33" t="inlineStr">
        <is>
          <t>Sí</t>
        </is>
      </c>
      <c r="J305" s="33" t="inlineStr">
        <is>
          <t>TJE - Trato Justo y Equitativo | Expropiación</t>
        </is>
      </c>
      <c r="K305" s="33" t="inlineStr">
        <is>
          <t>143.90 USD</t>
        </is>
      </c>
      <c r="L305" s="33" t="inlineStr">
        <is>
          <t>39.90 USD</t>
        </is>
      </c>
      <c r="M305" s="33" t="inlineStr">
        <is>
          <t>Tertiary - E - Water supply; sewerage, waste management and remediation activities;
Tertiary - E - Water supply; sewerage, waste management and remediation activities</t>
        </is>
      </c>
      <c r="N305" s="33" t="inlineStr"/>
      <c r="O305" s="33" t="inlineStr">
        <is>
          <t>Argentina - France BIT (1991)</t>
        </is>
      </c>
      <c r="P305" s="33" t="inlineStr"/>
      <c r="Q305" s="33" t="inlineStr">
        <is>
          <t>Fernández-Armesto, J. - President; Hanotiau, B. - Claimant; Tomuschat, C. - Respondent</t>
        </is>
      </c>
      <c r="R305" s="33" t="inlineStr">
        <is>
          <t>ICSID annulment proceedings</t>
        </is>
      </c>
      <c r="S305" s="33" t="inlineStr">
        <is>
          <t>Award/decision upheld ICSID annulment proceedings</t>
        </is>
      </c>
      <c r="T305" s="33" t="inlineStr">
        <is>
          <t>Indeterminado</t>
        </is>
      </c>
      <c r="U305" s="33" t="inlineStr">
        <is>
          <t>http://www.italaw.com/cases/1456</t>
        </is>
      </c>
      <c r="V305" s="33" t="inlineStr">
        <is>
          <t>Sí</t>
        </is>
      </c>
    </row>
    <row r="306">
      <c r="A306" s="33" t="n">
        <v>305</v>
      </c>
      <c r="B306" s="33" t="inlineStr">
        <is>
          <t>Talsud v. Mexico</t>
        </is>
      </c>
      <c r="C306" s="33" t="inlineStr">
        <is>
          <t>Talsud, S.A. v. United Mexican States (ICSID Case No. ARB(AF)/04/4)</t>
        </is>
      </c>
      <c r="D306" s="33" t="inlineStr">
        <is>
          <t>Mexico</t>
        </is>
      </c>
      <c r="E306" s="33" t="inlineStr">
        <is>
          <t>América del Norte</t>
        </is>
      </c>
      <c r="F306" s="33" t="inlineStr">
        <is>
          <t>Argentina</t>
        </is>
      </c>
      <c r="G306" s="33" t="n">
        <v>2004</v>
      </c>
      <c r="H306" s="33" t="inlineStr">
        <is>
          <t>Sí con daños</t>
        </is>
      </c>
      <c r="I306" s="33" t="inlineStr">
        <is>
          <t>Sí</t>
        </is>
      </c>
      <c r="J306" s="33" t="inlineStr">
        <is>
          <t>TJE - Trato Justo y Equitativo | Expropiación | Protección y Seguridad Plenas</t>
        </is>
      </c>
      <c r="K306" s="33" t="inlineStr">
        <is>
          <t>37.00 USD</t>
        </is>
      </c>
      <c r="L306" s="33" t="inlineStr">
        <is>
          <t>6.40 USD</t>
        </is>
      </c>
      <c r="M306" s="33" t="inlineStr">
        <is>
          <t>Tertiary - M - Professional, scientific and technical activities</t>
        </is>
      </c>
      <c r="N306" s="33" t="inlineStr"/>
      <c r="O306" s="33" t="inlineStr">
        <is>
          <t>Argentina - Mexico BIT (1996)</t>
        </is>
      </c>
      <c r="P306" s="33" t="inlineStr"/>
      <c r="Q306" s="33" t="inlineStr">
        <is>
          <t>Veeder, V. V. - President; Fortier, L. Y. - Claimant; Magallón Gómez, E. - Respondent</t>
        </is>
      </c>
      <c r="R306" s="33" t="inlineStr"/>
      <c r="S306" s="33" t="inlineStr"/>
      <c r="T306" s="33" t="inlineStr">
        <is>
          <t>Indeterminado</t>
        </is>
      </c>
      <c r="U306" s="33" t="inlineStr">
        <is>
          <t>http://www.italaw.com/cases/597</t>
        </is>
      </c>
      <c r="V306" s="33" t="inlineStr">
        <is>
          <t>Sí</t>
        </is>
      </c>
    </row>
    <row r="307">
      <c r="A307" s="32" t="n">
        <v>306</v>
      </c>
      <c r="B307" s="32" t="inlineStr">
        <is>
          <t>Telenor v. Hungary</t>
        </is>
      </c>
      <c r="C307" s="32" t="inlineStr">
        <is>
          <t>Telenor Mobile Communications AS v. Republic of Hungary (ICSID Case No. ARB/04/15)</t>
        </is>
      </c>
      <c r="D307" s="32" t="inlineStr">
        <is>
          <t>Hungary</t>
        </is>
      </c>
      <c r="E307" s="32" t="inlineStr">
        <is>
          <t>Europa Occidental</t>
        </is>
      </c>
      <c r="F307" s="32" t="inlineStr">
        <is>
          <t>Norway</t>
        </is>
      </c>
      <c r="G307" s="32" t="n">
        <v>2004</v>
      </c>
      <c r="H307" s="32" t="inlineStr">
        <is>
          <t>No - ganó el Estado</t>
        </is>
      </c>
      <c r="I307" s="32" t="inlineStr">
        <is>
          <t>No</t>
        </is>
      </c>
      <c r="J307" s="32" t="inlineStr">
        <is>
          <t>TJE - Trato Justo y Equitativo | Expropiación | NMF - Nación Más Favorecida</t>
        </is>
      </c>
      <c r="K307" s="32" t="inlineStr">
        <is>
          <t>152.00 USD</t>
        </is>
      </c>
      <c r="L307" s="32" t="inlineStr"/>
      <c r="M307" s="32" t="inlineStr">
        <is>
          <t>Tertiary - J - Information and communication</t>
        </is>
      </c>
      <c r="N307" s="32" t="inlineStr">
        <is>
          <t>Nacionalización</t>
        </is>
      </c>
      <c r="O307" s="32" t="inlineStr">
        <is>
          <t>Hungary - Norway BIT (1991)</t>
        </is>
      </c>
      <c r="P307" s="32" t="inlineStr"/>
      <c r="Q307" s="32" t="inlineStr">
        <is>
          <t>Goode, R. - President; Allard, N. W. - Claimant; Marriott, A. L. - Respondent</t>
        </is>
      </c>
      <c r="R307" s="32" t="inlineStr"/>
      <c r="S307" s="32" t="inlineStr"/>
      <c r="T307" s="32" t="inlineStr">
        <is>
          <t>Indeterminado</t>
        </is>
      </c>
      <c r="U307" s="32" t="inlineStr">
        <is>
          <t>http://www.italaw.com/cases/1093</t>
        </is>
      </c>
      <c r="V307" s="32" t="inlineStr">
        <is>
          <t>Sí</t>
        </is>
      </c>
    </row>
    <row r="308">
      <c r="A308" s="33" t="n">
        <v>307</v>
      </c>
      <c r="B308" s="33" t="inlineStr">
        <is>
          <t>Total v. Argentina</t>
        </is>
      </c>
      <c r="C308" s="33" t="inlineStr">
        <is>
          <t>Total S.A. v. Argentine Republic (ICSID Case No. ARB/04/1)</t>
        </is>
      </c>
      <c r="D308" s="33" t="inlineStr">
        <is>
          <t>Argentina</t>
        </is>
      </c>
      <c r="E308" s="33" t="inlineStr">
        <is>
          <t>América del Sur</t>
        </is>
      </c>
      <c r="F308" s="33" t="inlineStr">
        <is>
          <t>France</t>
        </is>
      </c>
      <c r="G308" s="33" t="n">
        <v>2004</v>
      </c>
      <c r="H308" s="33" t="inlineStr">
        <is>
          <t>Sí con daños</t>
        </is>
      </c>
      <c r="I308" s="33" t="inlineStr">
        <is>
          <t>Sí</t>
        </is>
      </c>
      <c r="J308" s="33" t="inlineStr">
        <is>
          <t>TJE - Trato Justo y Equitativo | Expropiación</t>
        </is>
      </c>
      <c r="K308" s="33" t="inlineStr">
        <is>
          <t>940.00 USD</t>
        </is>
      </c>
      <c r="L308" s="33" t="inlineStr">
        <is>
          <t>269.90 USD</t>
        </is>
      </c>
      <c r="M308" s="33" t="inlineStr">
        <is>
          <t>Tertiary - D - Electricity, gas, steam and air conditioning supply</t>
        </is>
      </c>
      <c r="N308" s="33" t="inlineStr">
        <is>
          <t>Nacionalización</t>
        </is>
      </c>
      <c r="O308" s="33" t="inlineStr">
        <is>
          <t>Argentina - France BIT (1991)</t>
        </is>
      </c>
      <c r="P308" s="33" t="inlineStr"/>
      <c r="Q308" s="33" t="inlineStr">
        <is>
          <t>Sacerdoti, G. - President; Álvarez, H. C. - Claimant; Herrera Marcano, L. - Respondent</t>
        </is>
      </c>
      <c r="R308" s="33" t="inlineStr">
        <is>
          <t>ICSID annulment proceedings</t>
        </is>
      </c>
      <c r="S308" s="33" t="inlineStr">
        <is>
          <t>Award/decision upheld ICSID annulment proceedings</t>
        </is>
      </c>
      <c r="T308" s="33" t="inlineStr">
        <is>
          <t>Inglés</t>
        </is>
      </c>
      <c r="U308" s="33" t="inlineStr">
        <is>
          <t>http://www.italaw.com/cases/1105</t>
        </is>
      </c>
      <c r="V308" s="33" t="inlineStr">
        <is>
          <t>Sí</t>
        </is>
      </c>
    </row>
    <row r="309">
      <c r="A309" s="32" t="n">
        <v>308</v>
      </c>
      <c r="B309" s="32" t="inlineStr">
        <is>
          <t>Vannessa Ventures v. Venezuela</t>
        </is>
      </c>
      <c r="C309" s="32" t="inlineStr">
        <is>
          <t>Vannessa Ventures Ltd v. Bolivarian Republic of Venezuela (ICSID Case No. ARB(AF)/04/6)</t>
        </is>
      </c>
      <c r="D309" s="32" t="inlineStr">
        <is>
          <t>Venezuela, Bolivarian Republic of</t>
        </is>
      </c>
      <c r="E309" s="32" t="inlineStr">
        <is>
          <t>América del Sur</t>
        </is>
      </c>
      <c r="F309" s="32" t="inlineStr">
        <is>
          <t>Canada</t>
        </is>
      </c>
      <c r="G309" s="32" t="n">
        <v>2004</v>
      </c>
      <c r="H309" s="32" t="inlineStr">
        <is>
          <t>No - ganó el Estado</t>
        </is>
      </c>
      <c r="I309" s="32" t="inlineStr">
        <is>
          <t>No</t>
        </is>
      </c>
      <c r="J309" s="32" t="inlineStr">
        <is>
          <t>TJE - Trato Justo y Equitativo | Expropiación | Protección y Seguridad Plenas</t>
        </is>
      </c>
      <c r="K309" s="32" t="inlineStr">
        <is>
          <t>1045.00 USD</t>
        </is>
      </c>
      <c r="L309" s="32" t="inlineStr"/>
      <c r="M309" s="32" t="inlineStr">
        <is>
          <t>Primary - B - Mining and quarrying</t>
        </is>
      </c>
      <c r="N309" s="32" t="inlineStr"/>
      <c r="O309" s="32" t="inlineStr">
        <is>
          <t>Canada - Venezuela, Bolivarian Republic of BIT (1996)</t>
        </is>
      </c>
      <c r="P309" s="32" t="inlineStr">
        <is>
          <t>991 Share</t>
        </is>
      </c>
      <c r="Q309" s="32" t="inlineStr">
        <is>
          <t>Lowe, V. - President; Briner, R. - President (replaced); Veeder, V. V. - President (replaced); Brower, C. N. - Claimant; Stern, B. - Respondent; Paulsson, J. - Respondent (replaced)</t>
        </is>
      </c>
      <c r="R309" s="32" t="inlineStr"/>
      <c r="S309" s="32" t="inlineStr"/>
      <c r="T309" s="32" t="inlineStr">
        <is>
          <t>Inglés</t>
        </is>
      </c>
      <c r="U309" s="32" t="inlineStr">
        <is>
          <t>http://www.italaw.com/cases/1146</t>
        </is>
      </c>
      <c r="V309" s="32" t="inlineStr">
        <is>
          <t>Sí</t>
        </is>
      </c>
    </row>
    <row r="310">
      <c r="A310" s="32" t="n">
        <v>309</v>
      </c>
      <c r="B310" s="32" t="inlineStr">
        <is>
          <t>Vieira v. Chile</t>
        </is>
      </c>
      <c r="C310" s="32" t="inlineStr">
        <is>
          <t>Sociedad Anónima Eduardo Vieira v. Republic of Chile (ICSID Case No. ARB/04/7)</t>
        </is>
      </c>
      <c r="D310" s="32" t="inlineStr">
        <is>
          <t>Chile</t>
        </is>
      </c>
      <c r="E310" s="32" t="inlineStr">
        <is>
          <t>América del Sur</t>
        </is>
      </c>
      <c r="F310" s="32" t="inlineStr">
        <is>
          <t>Spain</t>
        </is>
      </c>
      <c r="G310" s="32" t="n">
        <v>2004</v>
      </c>
      <c r="H310" s="32" t="inlineStr">
        <is>
          <t>No - ganó el Estado</t>
        </is>
      </c>
      <c r="I310" s="32" t="inlineStr">
        <is>
          <t>No</t>
        </is>
      </c>
      <c r="J310" s="32" t="inlineStr">
        <is>
          <t>Expropiación</t>
        </is>
      </c>
      <c r="K310" s="32" t="inlineStr">
        <is>
          <t>22.00 USD</t>
        </is>
      </c>
      <c r="L310" s="32" t="inlineStr"/>
      <c r="M310" s="32" t="inlineStr">
        <is>
          <t>Primary - A - Agriculture, forestry and fishing</t>
        </is>
      </c>
      <c r="N310" s="32" t="inlineStr">
        <is>
          <t>Cambio regulatorio</t>
        </is>
      </c>
      <c r="O310" s="32" t="inlineStr">
        <is>
          <t>Chile - Spain BIT (1991)</t>
        </is>
      </c>
      <c r="P310" s="32" t="inlineStr"/>
      <c r="Q310" s="32" t="inlineStr">
        <is>
          <t>von Wobeser, C. - President; Czar de Zalduendo, S. B. - Claimant; Reisman, W. M. - Respondent</t>
        </is>
      </c>
      <c r="R310" s="32" t="inlineStr">
        <is>
          <t>ICSID annulment proceedings</t>
        </is>
      </c>
      <c r="S310" s="32" t="inlineStr">
        <is>
          <t>Award/decision upheld ICSID annulment proceedings</t>
        </is>
      </c>
      <c r="T310" s="32" t="inlineStr">
        <is>
          <t>Indeterminado</t>
        </is>
      </c>
      <c r="U310" s="32" t="inlineStr">
        <is>
          <t>http://www.italaw.com/cases/1035</t>
        </is>
      </c>
      <c r="V310" s="32" t="inlineStr">
        <is>
          <t>Sí</t>
        </is>
      </c>
    </row>
    <row r="311">
      <c r="A311" s="32" t="n">
        <v>310</v>
      </c>
      <c r="B311" s="32" t="inlineStr">
        <is>
          <t>Wintershall v. Argentina</t>
        </is>
      </c>
      <c r="C311" s="32" t="inlineStr">
        <is>
          <t>Wintershall Aktiengesellschaft v. Argentine Republic (ICSID Case No. ARB/04/14)</t>
        </is>
      </c>
      <c r="D311" s="32" t="inlineStr">
        <is>
          <t>Argentina</t>
        </is>
      </c>
      <c r="E311" s="32" t="inlineStr">
        <is>
          <t>América del Sur</t>
        </is>
      </c>
      <c r="F311" s="32" t="inlineStr">
        <is>
          <t>Germany</t>
        </is>
      </c>
      <c r="G311" s="32" t="n">
        <v>2004</v>
      </c>
      <c r="H311" s="32" t="inlineStr">
        <is>
          <t>No - ganó el Estado</t>
        </is>
      </c>
      <c r="I311" s="32" t="inlineStr">
        <is>
          <t>No</t>
        </is>
      </c>
      <c r="J311" s="32" t="inlineStr">
        <is>
          <t>TJE - Trato Justo y Equitativo | Expropiación | Protección y Seguridad Plenas | Libre Transferencia | NMF - Nación Más Favorecida</t>
        </is>
      </c>
      <c r="K311" s="32" t="inlineStr">
        <is>
          <t>300.00 USD</t>
        </is>
      </c>
      <c r="L311" s="32" t="inlineStr"/>
      <c r="M311" s="32" t="inlineStr">
        <is>
          <t>Primary - B - Mining and quarrying</t>
        </is>
      </c>
      <c r="N311" s="32" t="inlineStr">
        <is>
          <t>Nacionalización</t>
        </is>
      </c>
      <c r="O311" s="32" t="inlineStr">
        <is>
          <t>Argentina - Germany BIT (1991)</t>
        </is>
      </c>
      <c r="P311" s="32" t="inlineStr"/>
      <c r="Q311" s="32" t="inlineStr">
        <is>
          <t>Nariman, F. S. - President; Bernardini, P. - Claimant; Torres Bernárdez, S. - Respondent</t>
        </is>
      </c>
      <c r="R311" s="32" t="inlineStr"/>
      <c r="S311" s="32" t="inlineStr"/>
      <c r="T311" s="32" t="inlineStr">
        <is>
          <t>Inglés</t>
        </is>
      </c>
      <c r="U311" s="32" t="inlineStr">
        <is>
          <t>http://www.italaw.com/cases/1171</t>
        </is>
      </c>
      <c r="V311" s="32" t="inlineStr">
        <is>
          <t>Sí</t>
        </is>
      </c>
    </row>
    <row r="312">
      <c r="A312" s="33" t="n">
        <v>311</v>
      </c>
      <c r="B312" s="33" t="inlineStr">
        <is>
          <t>ADC v. Hungary</t>
        </is>
      </c>
      <c r="C312" s="33" t="inlineStr">
        <is>
          <t>ADC Affiliate Limited and ADC &amp; ADMC Management Limited v. Republic of Hungary (ICSID Case No. ARB/03/16)</t>
        </is>
      </c>
      <c r="D312" s="33" t="inlineStr">
        <is>
          <t>Hungary</t>
        </is>
      </c>
      <c r="E312" s="33" t="inlineStr">
        <is>
          <t>Europa Occidental</t>
        </is>
      </c>
      <c r="F312" s="33" t="inlineStr">
        <is>
          <t>Cyprus</t>
        </is>
      </c>
      <c r="G312" s="33" t="n">
        <v>2003</v>
      </c>
      <c r="H312" s="33" t="inlineStr">
        <is>
          <t>Sí con daños</t>
        </is>
      </c>
      <c r="I312" s="33" t="inlineStr">
        <is>
          <t>Sí</t>
        </is>
      </c>
      <c r="J312" s="33" t="inlineStr">
        <is>
          <t>Expropiación</t>
        </is>
      </c>
      <c r="K312" s="33" t="inlineStr">
        <is>
          <t>99.70 USD</t>
        </is>
      </c>
      <c r="L312" s="33" t="inlineStr">
        <is>
          <t>76.00 USD</t>
        </is>
      </c>
      <c r="M312" s="33" t="inlineStr">
        <is>
          <t>Tertiary - F - Construction;
Tertiary - H - Transportation and storage;
Tertiary - H - Transportation and storage</t>
        </is>
      </c>
      <c r="N312" s="33" t="inlineStr"/>
      <c r="O312" s="33" t="inlineStr">
        <is>
          <t>Cyprus - Hungary BIT (1989)</t>
        </is>
      </c>
      <c r="P312" s="33" t="inlineStr"/>
      <c r="Q312" s="33" t="inlineStr">
        <is>
          <t>Kaplan, N. - President; Philip, A. - President (replaced); Brower, C. N. - Claimant; van den Berg, A. J. - Respondent</t>
        </is>
      </c>
      <c r="R312" s="33" t="inlineStr"/>
      <c r="S312" s="33" t="inlineStr"/>
      <c r="T312" s="33" t="inlineStr">
        <is>
          <t>Inglés</t>
        </is>
      </c>
      <c r="U312" s="33" t="inlineStr">
        <is>
          <t>http://italaw.com/cases/41</t>
        </is>
      </c>
      <c r="V312" s="33" t="inlineStr">
        <is>
          <t>Sí</t>
        </is>
      </c>
    </row>
    <row r="313">
      <c r="A313" s="32" t="n">
        <v>312</v>
      </c>
      <c r="B313" s="32" t="inlineStr">
        <is>
          <t>Bayindir v. Pakistan (I)</t>
        </is>
      </c>
      <c r="C313" s="32" t="inlineStr">
        <is>
          <t>Bayindir Insaat Turizm Ticaret Ve Sanayi A.S. v. Islamic Republic of Pakistan (I) (ICSID Case No. ARB/03/29)</t>
        </is>
      </c>
      <c r="D313" s="32" t="inlineStr">
        <is>
          <t>Pakistan</t>
        </is>
      </c>
      <c r="E313" s="32" t="inlineStr">
        <is>
          <t>Asia Sur-Este/Pacífico</t>
        </is>
      </c>
      <c r="F313" s="32" t="inlineStr">
        <is>
          <t>Türkiye</t>
        </is>
      </c>
      <c r="G313" s="32" t="n">
        <v>2003</v>
      </c>
      <c r="H313" s="32" t="inlineStr">
        <is>
          <t>No - ganó el Estado</t>
        </is>
      </c>
      <c r="I313" s="32" t="inlineStr">
        <is>
          <t>No</t>
        </is>
      </c>
      <c r="J313" s="32" t="inlineStr">
        <is>
          <t>TJE - Trato Justo y Equitativo | Expropiación | NMF - Nación Más Favorecida | Trato Nacional</t>
        </is>
      </c>
      <c r="K313" s="32" t="inlineStr">
        <is>
          <t>416.00 USD</t>
        </is>
      </c>
      <c r="L313" s="32" t="inlineStr"/>
      <c r="M313" s="32" t="inlineStr">
        <is>
          <t>Tertiary - F - Construction</t>
        </is>
      </c>
      <c r="N313" s="32" t="inlineStr"/>
      <c r="O313" s="32" t="inlineStr">
        <is>
          <t>Pakistan - Turkey BIT (1995)</t>
        </is>
      </c>
      <c r="P313" s="32" t="inlineStr"/>
      <c r="Q313" s="32" t="inlineStr">
        <is>
          <t>Kaufmann-Kohler, G. - President; Böckstiegel, K.-H. - Claimant; Berman, F. - Respondent</t>
        </is>
      </c>
      <c r="R313" s="32" t="inlineStr"/>
      <c r="S313" s="32" t="inlineStr"/>
      <c r="T313" s="32" t="inlineStr">
        <is>
          <t>Indeterminado</t>
        </is>
      </c>
      <c r="U313" s="32" t="inlineStr">
        <is>
          <t>http://www.italaw.com/cases/131</t>
        </is>
      </c>
      <c r="V313" s="32" t="inlineStr">
        <is>
          <t>Sí</t>
        </is>
      </c>
    </row>
    <row r="314">
      <c r="A314" s="33" t="n">
        <v>313</v>
      </c>
      <c r="B314" s="33" t="inlineStr">
        <is>
          <t>Continental Casualty v. Argentina</t>
        </is>
      </c>
      <c r="C314" s="33" t="inlineStr">
        <is>
          <t>Continental Casualty Company v. Argentine Republic (ICSID Case No. ARB/03/9)</t>
        </is>
      </c>
      <c r="D314" s="33" t="inlineStr">
        <is>
          <t>Argentina</t>
        </is>
      </c>
      <c r="E314" s="33" t="inlineStr">
        <is>
          <t>América del Sur</t>
        </is>
      </c>
      <c r="F314" s="33" t="inlineStr">
        <is>
          <t>United States of America</t>
        </is>
      </c>
      <c r="G314" s="33" t="n">
        <v>2003</v>
      </c>
      <c r="H314" s="33" t="inlineStr">
        <is>
          <t>Sí con daños</t>
        </is>
      </c>
      <c r="I314" s="33" t="inlineStr">
        <is>
          <t>Sí</t>
        </is>
      </c>
      <c r="J314" s="33" t="inlineStr">
        <is>
          <t>TJE - Trato Justo y Equitativo | Expropiación | Cláusula Paraguas</t>
        </is>
      </c>
      <c r="K314" s="33" t="inlineStr">
        <is>
          <t>114.00 USD</t>
        </is>
      </c>
      <c r="L314" s="33" t="inlineStr">
        <is>
          <t>2.80 USD</t>
        </is>
      </c>
      <c r="M314" s="33" t="inlineStr">
        <is>
          <t>Tertiary - K - Financial and insurance activities</t>
        </is>
      </c>
      <c r="N314" s="33" t="inlineStr">
        <is>
          <t>Medidas de emergencia económica (pesificación/corralito)</t>
        </is>
      </c>
      <c r="O314" s="33" t="inlineStr">
        <is>
          <t>Argentina - United States of America BIT (1991)</t>
        </is>
      </c>
      <c r="P314" s="33" t="inlineStr"/>
      <c r="Q314" s="33" t="inlineStr">
        <is>
          <t>Sacerdoti, G. - President; Veeder, V. V. - Claimant; Lauterpacht, E. - Claimant (replaced); Nader, M. - Respondent</t>
        </is>
      </c>
      <c r="R314" s="33" t="inlineStr">
        <is>
          <t>ICSID annulment proceedings</t>
        </is>
      </c>
      <c r="S314" s="33" t="inlineStr">
        <is>
          <t>Award/decision upheld ICSID annulment proceedings</t>
        </is>
      </c>
      <c r="T314" s="33" t="inlineStr">
        <is>
          <t>Inglés</t>
        </is>
      </c>
      <c r="U314" s="33" t="inlineStr">
        <is>
          <t>http://www.italaw.com/cases/329</t>
        </is>
      </c>
      <c r="V314" s="33" t="inlineStr">
        <is>
          <t>Sí</t>
        </is>
      </c>
    </row>
    <row r="315">
      <c r="A315" s="33" t="n">
        <v>314</v>
      </c>
      <c r="B315" s="33" t="inlineStr">
        <is>
          <t>EDF and others v. Argentina</t>
        </is>
      </c>
      <c r="C315" s="33" t="inlineStr">
        <is>
          <t>EDF International S.A., SAUR International S.A. and León Participaciones Argentinas S.A. v. Argentine Republic (ICSID Case No. ARB/03/23)</t>
        </is>
      </c>
      <c r="D315" s="33" t="inlineStr">
        <is>
          <t>Argentina</t>
        </is>
      </c>
      <c r="E315" s="33" t="inlineStr">
        <is>
          <t>América del Sur</t>
        </is>
      </c>
      <c r="F315" s="33" t="inlineStr">
        <is>
          <t>France</t>
        </is>
      </c>
      <c r="G315" s="33" t="n">
        <v>2003</v>
      </c>
      <c r="H315" s="33" t="inlineStr">
        <is>
          <t>Sí con daños</t>
        </is>
      </c>
      <c r="I315" s="33" t="inlineStr">
        <is>
          <t>Sí</t>
        </is>
      </c>
      <c r="J315" s="33" t="inlineStr">
        <is>
          <t>TJE - Trato Justo y Equitativo | Expropiación | Protección y Seguridad Plenas | Cláusula Paraguas | NMF - Nación Más Favorecida | Trato Nacional</t>
        </is>
      </c>
      <c r="K315" s="33" t="inlineStr">
        <is>
          <t>270.00 USD</t>
        </is>
      </c>
      <c r="L315" s="33" t="inlineStr">
        <is>
          <t>136.00 USD</t>
        </is>
      </c>
      <c r="M315" s="33" t="inlineStr">
        <is>
          <t>Tertiary - D - Electricity, gas, steam and air conditioning supply</t>
        </is>
      </c>
      <c r="N315" s="33" t="inlineStr"/>
      <c r="O315" s="33" t="inlineStr">
        <is>
          <t>Argentina - France BIT (1991);
Argentina - BLEU (Belgium-Luxembourg Economic Union) BIT (1990)</t>
        </is>
      </c>
      <c r="P315" s="33" t="inlineStr"/>
      <c r="Q315" s="33" t="inlineStr">
        <is>
          <t>Park, W. W. - President; Kaufmann-Kohler, G. - Claimant; De Trazegnies Granda, F. - Respondent (replaced); Remón Peñalver, J. - Respondent</t>
        </is>
      </c>
      <c r="R315" s="33" t="inlineStr">
        <is>
          <t>ICSID annulment proceedings</t>
        </is>
      </c>
      <c r="S315" s="33" t="inlineStr">
        <is>
          <t>Award/decision upheld ICSID annulment proceedings</t>
        </is>
      </c>
      <c r="T315" s="33" t="inlineStr">
        <is>
          <t>Indeterminado</t>
        </is>
      </c>
      <c r="U315" s="33" t="inlineStr">
        <is>
          <t>http://www.italaw.com/cases/372</t>
        </is>
      </c>
      <c r="V315" s="33" t="inlineStr">
        <is>
          <t>Sí</t>
        </is>
      </c>
    </row>
    <row r="316">
      <c r="A316" s="33" t="n">
        <v>315</v>
      </c>
      <c r="B316" s="33" t="inlineStr">
        <is>
          <t>El Paso v. Argentina</t>
        </is>
      </c>
      <c r="C316" s="33" t="inlineStr">
        <is>
          <t>El Paso Energy International Company v. Argentine Republic (ICSID Case No. ARB/03/15)</t>
        </is>
      </c>
      <c r="D316" s="33" t="inlineStr">
        <is>
          <t>Argentina</t>
        </is>
      </c>
      <c r="E316" s="33" t="inlineStr">
        <is>
          <t>América del Sur</t>
        </is>
      </c>
      <c r="F316" s="33" t="inlineStr">
        <is>
          <t>United States of America</t>
        </is>
      </c>
      <c r="G316" s="33" t="n">
        <v>2003</v>
      </c>
      <c r="H316" s="33" t="inlineStr">
        <is>
          <t>Sí con daños</t>
        </is>
      </c>
      <c r="I316" s="33" t="inlineStr">
        <is>
          <t>Sí</t>
        </is>
      </c>
      <c r="J316" s="33" t="inlineStr">
        <is>
          <t>Expropiación | Cláusula Paraguas</t>
        </is>
      </c>
      <c r="K316" s="33" t="inlineStr">
        <is>
          <t>228.20 USD</t>
        </is>
      </c>
      <c r="L316" s="33" t="inlineStr">
        <is>
          <t>43.00 USD</t>
        </is>
      </c>
      <c r="M316" s="33" t="inlineStr">
        <is>
          <t>Primary - B - Mining and quarrying;
Tertiary - D - Electricity, gas, steam and air conditioning supply</t>
        </is>
      </c>
      <c r="N316" s="33" t="inlineStr">
        <is>
          <t>Nacionalización | Medidas de emergencia económica (pesificación/corralito)</t>
        </is>
      </c>
      <c r="O316" s="33" t="inlineStr">
        <is>
          <t>Argentina - United States of America BIT (1991)</t>
        </is>
      </c>
      <c r="P316" s="33" t="inlineStr">
        <is>
          <t>45%  of  the  share</t>
        </is>
      </c>
      <c r="Q316" s="33" t="inlineStr">
        <is>
          <t>Caflisch, L. - President; Bernardini, P. - Claimant; Stern, B. - Respondent</t>
        </is>
      </c>
      <c r="R316" s="33" t="inlineStr">
        <is>
          <t>ICSID annulment proceedings</t>
        </is>
      </c>
      <c r="S316" s="33" t="inlineStr">
        <is>
          <t>Award/decision upheld ICSID annulment proceedings</t>
        </is>
      </c>
      <c r="T316" s="33" t="inlineStr">
        <is>
          <t>Indeterminado</t>
        </is>
      </c>
      <c r="U316" s="33" t="inlineStr">
        <is>
          <t>http://italaw.com/cases/382</t>
        </is>
      </c>
      <c r="V316" s="33" t="inlineStr">
        <is>
          <t>Sí</t>
        </is>
      </c>
    </row>
    <row r="317">
      <c r="A317" s="32" t="n">
        <v>316</v>
      </c>
      <c r="B317" s="32" t="inlineStr">
        <is>
          <t>Fraport v. Philippines (I)</t>
        </is>
      </c>
      <c r="C317" s="32" t="inlineStr">
        <is>
          <t>Fraport AG Frankfurt Airport Services Worldwide v. Republic of the Philippines (I) (ICSID Case No. ARB/03/25)</t>
        </is>
      </c>
      <c r="D317" s="32" t="inlineStr">
        <is>
          <t>Philippines</t>
        </is>
      </c>
      <c r="E317" s="32" t="inlineStr">
        <is>
          <t>Asia Sur-Este/Pacífico</t>
        </is>
      </c>
      <c r="F317" s="32" t="inlineStr">
        <is>
          <t>Germany</t>
        </is>
      </c>
      <c r="G317" s="32" t="n">
        <v>2003</v>
      </c>
      <c r="H317" s="32" t="inlineStr">
        <is>
          <t>No - ganó el Estado</t>
        </is>
      </c>
      <c r="I317" s="32" t="inlineStr">
        <is>
          <t>No</t>
        </is>
      </c>
      <c r="J317" s="32" t="inlineStr">
        <is>
          <t>TJE - Trato Justo y Equitativo | Expropiación</t>
        </is>
      </c>
      <c r="K317" s="32" t="inlineStr">
        <is>
          <t>425.00 USD</t>
        </is>
      </c>
      <c r="L317" s="32" t="inlineStr"/>
      <c r="M317" s="32" t="inlineStr">
        <is>
          <t>Tertiary - H - Transportation and storage</t>
        </is>
      </c>
      <c r="N317" s="32" t="inlineStr"/>
      <c r="O317" s="32" t="inlineStr">
        <is>
          <t>Germany - Philippines BIT (1997)</t>
        </is>
      </c>
      <c r="P317" s="32" t="inlineStr">
        <is>
          <t>100% (wholly owned)</t>
        </is>
      </c>
      <c r="Q317" s="32" t="inlineStr">
        <is>
          <t>Fortier, L. Y. - President; Cremades, B. M. - Claimant; Reisman, W. M. - Respondent</t>
        </is>
      </c>
      <c r="R317" s="32" t="inlineStr">
        <is>
          <t>ICSID annulment proceedings</t>
        </is>
      </c>
      <c r="S317" s="32" t="inlineStr">
        <is>
          <t>Award/decision annulled in its entirety ICSID annulment proceedings</t>
        </is>
      </c>
      <c r="T317" s="32" t="inlineStr">
        <is>
          <t>Inglés</t>
        </is>
      </c>
      <c r="U317" s="32" t="inlineStr">
        <is>
          <t>http://www.italaw.com/cases/456</t>
        </is>
      </c>
      <c r="V317" s="32" t="inlineStr">
        <is>
          <t>Sí</t>
        </is>
      </c>
    </row>
    <row r="318">
      <c r="A318" s="32" t="n">
        <v>317</v>
      </c>
      <c r="B318" s="32" t="inlineStr">
        <is>
          <t>Inceysa v. El Salvador</t>
        </is>
      </c>
      <c r="C318" s="32" t="inlineStr">
        <is>
          <t>Inceysa Vallisoletana S.L. v. Republic of El Salvador (ICSID Case No. ARB/03/26)</t>
        </is>
      </c>
      <c r="D318" s="32" t="inlineStr">
        <is>
          <t>El Salvador</t>
        </is>
      </c>
      <c r="E318" s="32" t="inlineStr">
        <is>
          <t>América Central/Caribe</t>
        </is>
      </c>
      <c r="F318" s="32" t="inlineStr">
        <is>
          <t>Spain</t>
        </is>
      </c>
      <c r="G318" s="32" t="n">
        <v>2003</v>
      </c>
      <c r="H318" s="32" t="inlineStr">
        <is>
          <t>No - ganó el Estado</t>
        </is>
      </c>
      <c r="I318" s="32" t="inlineStr">
        <is>
          <t>No</t>
        </is>
      </c>
      <c r="J318" s="32" t="inlineStr">
        <is>
          <t>Expropiación</t>
        </is>
      </c>
      <c r="K318" s="32" t="inlineStr">
        <is>
          <t>122.00 USD</t>
        </is>
      </c>
      <c r="L318" s="32" t="inlineStr"/>
      <c r="M318" s="32" t="inlineStr">
        <is>
          <t>Tertiary - M - Professional, scientific and technical activities</t>
        </is>
      </c>
      <c r="N318" s="32" t="inlineStr"/>
      <c r="O318" s="32" t="inlineStr">
        <is>
          <t>El Salvador - Spain BIT (1995)</t>
        </is>
      </c>
      <c r="P318" s="32" t="inlineStr"/>
      <c r="Q318" s="32" t="inlineStr">
        <is>
          <t>Oreamuno Blanco, R. - President; Landy, B. A. - Claimant; von Wobeser, C. - Respondent</t>
        </is>
      </c>
      <c r="R318" s="32" t="inlineStr"/>
      <c r="S318" s="32" t="inlineStr"/>
      <c r="T318" s="32" t="inlineStr">
        <is>
          <t>Inglés</t>
        </is>
      </c>
      <c r="U318" s="32" t="inlineStr">
        <is>
          <t>http://www.italaw.com/cases/562</t>
        </is>
      </c>
      <c r="V318" s="32" t="inlineStr">
        <is>
          <t>Sí</t>
        </is>
      </c>
    </row>
    <row r="319">
      <c r="A319" s="32" t="n">
        <v>318</v>
      </c>
      <c r="B319" s="32" t="inlineStr">
        <is>
          <t>Industria Nacional de Alimentos v. Peru</t>
        </is>
      </c>
      <c r="C319" s="32" t="inlineStr">
        <is>
          <t>Industria Nacional de Alimentos, S.A. and Indalsa Perú, S.A. (formerly Empresas Lucchetti, S.A. and Lucchetti Perú, S.A.) v. Republic of Peru (ICSID Case No. ARB/03/4)</t>
        </is>
      </c>
      <c r="D319" s="32" t="inlineStr">
        <is>
          <t>Peru</t>
        </is>
      </c>
      <c r="E319" s="32" t="inlineStr">
        <is>
          <t>América del Sur</t>
        </is>
      </c>
      <c r="F319" s="32" t="inlineStr">
        <is>
          <t>Chile</t>
        </is>
      </c>
      <c r="G319" s="32" t="n">
        <v>2003</v>
      </c>
      <c r="H319" s="32" t="inlineStr">
        <is>
          <t>No - ganó el Estado</t>
        </is>
      </c>
      <c r="I319" s="32" t="inlineStr">
        <is>
          <t>No</t>
        </is>
      </c>
      <c r="J319" s="32" t="inlineStr">
        <is>
          <t>Expropiación | NMF - Nación Más Favorecida</t>
        </is>
      </c>
      <c r="K319" s="32" t="inlineStr"/>
      <c r="L319" s="32" t="inlineStr"/>
      <c r="M319" s="32" t="inlineStr">
        <is>
          <t>Secondary - C - Manufacturing</t>
        </is>
      </c>
      <c r="N319" s="32" t="inlineStr">
        <is>
          <t>Nacionalización</t>
        </is>
      </c>
      <c r="O319" s="32" t="inlineStr">
        <is>
          <t>Chile - Peru BIT (2000)</t>
        </is>
      </c>
      <c r="P319" s="32" t="inlineStr">
        <is>
          <t>98% of 
the  shares</t>
        </is>
      </c>
      <c r="Q319" s="32" t="inlineStr">
        <is>
          <t>Buergenthal, T. - President; Paulsson, J. - Claimant; Cremades, B. M. - Respondent</t>
        </is>
      </c>
      <c r="R319" s="32" t="inlineStr">
        <is>
          <t>ICSID annulment proceedings</t>
        </is>
      </c>
      <c r="S319" s="32" t="inlineStr">
        <is>
          <t>Award/decision upheld ICSID annulment proceedings</t>
        </is>
      </c>
      <c r="T319" s="32" t="inlineStr">
        <is>
          <t>Inglés</t>
        </is>
      </c>
      <c r="U319" s="32" t="inlineStr">
        <is>
          <t>http://italaw.com/cases/389</t>
        </is>
      </c>
      <c r="V319" s="32" t="inlineStr">
        <is>
          <t>Sí</t>
        </is>
      </c>
    </row>
    <row r="320">
      <c r="A320" s="32" t="n">
        <v>319</v>
      </c>
      <c r="B320" s="32" t="inlineStr">
        <is>
          <t>Joy Mining v. Egypt</t>
        </is>
      </c>
      <c r="C320" s="32" t="inlineStr">
        <is>
          <t>Joy Mining Machinery Limited v. Arab Republic of Egypt (ICSID Case No. ARB/03/11)</t>
        </is>
      </c>
      <c r="D320" s="32" t="inlineStr">
        <is>
          <t>Egypt</t>
        </is>
      </c>
      <c r="E320" s="32" t="inlineStr">
        <is>
          <t>Medio Oriente/Norte África</t>
        </is>
      </c>
      <c r="F320" s="32" t="inlineStr">
        <is>
          <t>United Kingdom</t>
        </is>
      </c>
      <c r="G320" s="32" t="n">
        <v>2003</v>
      </c>
      <c r="H320" s="32" t="inlineStr">
        <is>
          <t>No - ganó el Estado</t>
        </is>
      </c>
      <c r="I320" s="32" t="inlineStr">
        <is>
          <t>No</t>
        </is>
      </c>
      <c r="J320" s="32" t="inlineStr">
        <is>
          <t>TJE - Trato Justo y Equitativo | Expropiación | Protección y Seguridad Plenas | Libre Transferencia | Cláusula Paraguas</t>
        </is>
      </c>
      <c r="K320" s="32" t="inlineStr">
        <is>
          <t>2.50 GBP (4.50 USD)</t>
        </is>
      </c>
      <c r="L320" s="32" t="inlineStr"/>
      <c r="M320" s="32" t="inlineStr">
        <is>
          <t>Primary - B - Mining and quarrying</t>
        </is>
      </c>
      <c r="N320" s="32" t="inlineStr">
        <is>
          <t>Nacionalización</t>
        </is>
      </c>
      <c r="O320" s="32" t="inlineStr">
        <is>
          <t>Egypt - United Kingdom BIT (1975)</t>
        </is>
      </c>
      <c r="P320" s="32" t="inlineStr"/>
      <c r="Q320" s="32" t="inlineStr">
        <is>
          <t>Orrego Vicuña, F. - President; Craig, W. L. - Claimant; Weeramantry, C. G. - Respondent</t>
        </is>
      </c>
      <c r="R320" s="32" t="inlineStr">
        <is>
          <t>ICSID annulment proceedings</t>
        </is>
      </c>
      <c r="S320" s="32" t="inlineStr">
        <is>
          <t>Discontinued ICSID annulment proceedings</t>
        </is>
      </c>
      <c r="T320" s="32" t="inlineStr">
        <is>
          <t>Inglés</t>
        </is>
      </c>
      <c r="U320" s="32" t="inlineStr">
        <is>
          <t>http://www.italaw.com/cases/590</t>
        </is>
      </c>
      <c r="V320" s="32" t="inlineStr">
        <is>
          <t>Sí</t>
        </is>
      </c>
    </row>
    <row r="321">
      <c r="A321" s="32" t="n">
        <v>320</v>
      </c>
      <c r="B321" s="32" t="inlineStr">
        <is>
          <t>L.E.S.I. v. Algeria</t>
        </is>
      </c>
      <c r="C321" s="32" t="inlineStr">
        <is>
          <t>Consortium Groupement L.E.S.I. - DIPENTA v. People's Democratic Republic of Algeria (ICSID Case No. ARB/03/8)</t>
        </is>
      </c>
      <c r="D321" s="32" t="inlineStr">
        <is>
          <t>Algeria</t>
        </is>
      </c>
      <c r="E321" s="32" t="inlineStr">
        <is>
          <t>Medio Oriente/Norte África</t>
        </is>
      </c>
      <c r="F321" s="32" t="inlineStr">
        <is>
          <t>Italy</t>
        </is>
      </c>
      <c r="G321" s="32" t="n">
        <v>2003</v>
      </c>
      <c r="H321" s="32" t="inlineStr">
        <is>
          <t>No - ganó el Estado</t>
        </is>
      </c>
      <c r="I321" s="32" t="inlineStr">
        <is>
          <t>No</t>
        </is>
      </c>
      <c r="J321" s="32" t="inlineStr">
        <is>
          <t>Expropiación</t>
        </is>
      </c>
      <c r="K321" s="32" t="inlineStr">
        <is>
          <t>115.00 EUR (124.00 USD)</t>
        </is>
      </c>
      <c r="L321" s="32" t="inlineStr"/>
      <c r="M321" s="32" t="inlineStr">
        <is>
          <t>Tertiary - F - Construction</t>
        </is>
      </c>
      <c r="N321" s="32" t="inlineStr"/>
      <c r="O321" s="32" t="inlineStr">
        <is>
          <t>Algeria - Italy BIT (1991)</t>
        </is>
      </c>
      <c r="P321" s="32" t="inlineStr"/>
      <c r="Q321" s="32" t="inlineStr">
        <is>
          <t>Tercier, P. - President; Faures, A. - Claimant; Gaillard, E. - Respondent</t>
        </is>
      </c>
      <c r="R321" s="32" t="inlineStr"/>
      <c r="S321" s="32" t="inlineStr"/>
      <c r="T321" s="32" t="inlineStr">
        <is>
          <t>Indeterminado</t>
        </is>
      </c>
      <c r="U321" s="32" t="inlineStr">
        <is>
          <t>http://italaw.com/cases/323</t>
        </is>
      </c>
      <c r="V321" s="32" t="inlineStr">
        <is>
          <t>Sí</t>
        </is>
      </c>
    </row>
    <row r="322">
      <c r="A322" s="32" t="n">
        <v>321</v>
      </c>
      <c r="B322" s="32" t="inlineStr">
        <is>
          <t>MCI v. Ecuador</t>
        </is>
      </c>
      <c r="C322" s="32" t="inlineStr">
        <is>
          <t>M.C.I. Power Group, L.C. and New Turbine, Inc. v. Republic of Ecuador (ICSID Case No. ARB/03/6)</t>
        </is>
      </c>
      <c r="D322" s="32" t="inlineStr">
        <is>
          <t>Ecuador</t>
        </is>
      </c>
      <c r="E322" s="32" t="inlineStr">
        <is>
          <t>América del Sur</t>
        </is>
      </c>
      <c r="F322" s="32" t="inlineStr">
        <is>
          <t>United States of America</t>
        </is>
      </c>
      <c r="G322" s="32" t="n">
        <v>2003</v>
      </c>
      <c r="H322" s="32" t="inlineStr">
        <is>
          <t>No - ganó el Estado</t>
        </is>
      </c>
      <c r="I322" s="32" t="inlineStr">
        <is>
          <t>No</t>
        </is>
      </c>
      <c r="J322" s="32" t="inlineStr">
        <is>
          <t>TJE - Trato Justo y Equitativo | Expropiación | Protección y Seguridad Plenas | NMF - Nación Más Favorecida</t>
        </is>
      </c>
      <c r="K322" s="32" t="inlineStr"/>
      <c r="L322" s="32" t="inlineStr"/>
      <c r="M322" s="32" t="inlineStr">
        <is>
          <t>Tertiary - D - Electricity, gas, steam and air conditioning supply</t>
        </is>
      </c>
      <c r="N322" s="32" t="inlineStr">
        <is>
          <t>Rescisión/terminación de contrato</t>
        </is>
      </c>
      <c r="O322" s="32" t="inlineStr">
        <is>
          <t>Ecuador - United States of America BIT (1993)</t>
        </is>
      </c>
      <c r="P322" s="32" t="inlineStr"/>
      <c r="Q322" s="32" t="inlineStr">
        <is>
          <t>Vinuesa, R. E. - President; Greenberg, B. J. - Claimant; Irarrázabal, J. - Respondent</t>
        </is>
      </c>
      <c r="R322" s="32" t="inlineStr">
        <is>
          <t>ICSID annulment proceedings</t>
        </is>
      </c>
      <c r="S322" s="32" t="inlineStr">
        <is>
          <t>Award/decision upheld ICSID annulment proceedings</t>
        </is>
      </c>
      <c r="T322" s="32" t="inlineStr">
        <is>
          <t>Inglés</t>
        </is>
      </c>
      <c r="U322" s="32" t="inlineStr">
        <is>
          <t>http://www.italaw.com/cases/662</t>
        </is>
      </c>
      <c r="V322" s="32" t="inlineStr">
        <is>
          <t>Sí</t>
        </is>
      </c>
    </row>
    <row r="323">
      <c r="A323" s="32" t="n">
        <v>322</v>
      </c>
      <c r="B323" s="32" t="inlineStr">
        <is>
          <t>Metalpar v. Argentina</t>
        </is>
      </c>
      <c r="C323" s="32" t="inlineStr">
        <is>
          <t>Metalpar S.A. and Buen Aire S.A. v. Argentine Republic (ICSID Case No. ARB/03/5)</t>
        </is>
      </c>
      <c r="D323" s="32" t="inlineStr">
        <is>
          <t>Argentina</t>
        </is>
      </c>
      <c r="E323" s="32" t="inlineStr">
        <is>
          <t>América del Sur</t>
        </is>
      </c>
      <c r="F323" s="32" t="inlineStr">
        <is>
          <t>Chile</t>
        </is>
      </c>
      <c r="G323" s="32" t="n">
        <v>2003</v>
      </c>
      <c r="H323" s="32" t="inlineStr">
        <is>
          <t>No - ganó el Estado</t>
        </is>
      </c>
      <c r="I323" s="32" t="inlineStr">
        <is>
          <t>No</t>
        </is>
      </c>
      <c r="J323" s="32" t="inlineStr">
        <is>
          <t>TJE - Trato Justo y Equitativo | Expropiación</t>
        </is>
      </c>
      <c r="K323" s="32" t="inlineStr">
        <is>
          <t>18.00 USD</t>
        </is>
      </c>
      <c r="L323" s="32" t="inlineStr"/>
      <c r="M323" s="32" t="inlineStr">
        <is>
          <t>Secondary - C - Manufacturing</t>
        </is>
      </c>
      <c r="N323" s="32" t="inlineStr">
        <is>
          <t>Medidas de emergencia económica (pesificación/corralito)</t>
        </is>
      </c>
      <c r="O323" s="32" t="inlineStr">
        <is>
          <t>Argentina - Chile BIT (1991)</t>
        </is>
      </c>
      <c r="P323" s="32" t="inlineStr"/>
      <c r="Q323" s="32" t="inlineStr">
        <is>
          <t>Oreamuno Blanco, R. - President; Cameron, D. H. - Claimant; Chabaneix, J. P. - Respondent</t>
        </is>
      </c>
      <c r="R323" s="32" t="inlineStr"/>
      <c r="S323" s="32" t="inlineStr"/>
      <c r="T323" s="32" t="inlineStr">
        <is>
          <t>Indeterminado</t>
        </is>
      </c>
      <c r="U323" s="32" t="inlineStr">
        <is>
          <t>http://italaw.com/cases/680</t>
        </is>
      </c>
      <c r="V323" s="32" t="inlineStr">
        <is>
          <t>Sí</t>
        </is>
      </c>
    </row>
    <row r="324">
      <c r="A324" s="32" t="n">
        <v>323</v>
      </c>
      <c r="B324" s="32" t="inlineStr">
        <is>
          <t>Plama v. Bulgaria</t>
        </is>
      </c>
      <c r="C324" s="32" t="inlineStr">
        <is>
          <t>Plama Consortium Limited v. Republic of Bulgaria (ICSID Case No. ARB/03/24)</t>
        </is>
      </c>
      <c r="D324" s="32" t="inlineStr">
        <is>
          <t>Bulgaria</t>
        </is>
      </c>
      <c r="E324" s="32" t="inlineStr">
        <is>
          <t>Europa Occidental</t>
        </is>
      </c>
      <c r="F324" s="32" t="inlineStr">
        <is>
          <t>Cyprus</t>
        </is>
      </c>
      <c r="G324" s="32" t="n">
        <v>2003</v>
      </c>
      <c r="H324" s="32" t="inlineStr">
        <is>
          <t>No - ganó el Estado</t>
        </is>
      </c>
      <c r="I324" s="32" t="inlineStr">
        <is>
          <t>No</t>
        </is>
      </c>
      <c r="J324" s="32" t="inlineStr">
        <is>
          <t>TJE - Trato Justo y Equitativo | Expropiación | NMF - Nación Más Favorecida</t>
        </is>
      </c>
      <c r="K324" s="32" t="inlineStr">
        <is>
          <t>146.00 USD</t>
        </is>
      </c>
      <c r="L324" s="32" t="inlineStr"/>
      <c r="M324" s="32" t="inlineStr">
        <is>
          <t>Secondary - C - Manufacturing</t>
        </is>
      </c>
      <c r="N324" s="32" t="inlineStr"/>
      <c r="O324" s="32" t="inlineStr">
        <is>
          <t>The Energy Charter Treaty (1994);
Bulgaria - Cyprus BIT (1987)</t>
        </is>
      </c>
      <c r="P324" s="32" t="inlineStr"/>
      <c r="Q324" s="32" t="inlineStr">
        <is>
          <t>Salans, C. F. - President; van den Berg, A. J. - Claimant; Veeder, V. V. - Respondent</t>
        </is>
      </c>
      <c r="R324" s="32" t="inlineStr"/>
      <c r="S324" s="32" t="inlineStr"/>
      <c r="T324" s="32" t="inlineStr">
        <is>
          <t>Indeterminado</t>
        </is>
      </c>
      <c r="U324" s="32" t="inlineStr">
        <is>
          <t>http://www.italaw.com/cases/857</t>
        </is>
      </c>
      <c r="V324" s="32" t="inlineStr">
        <is>
          <t>Sí</t>
        </is>
      </c>
    </row>
    <row r="325">
      <c r="A325" s="33" t="n">
        <v>324</v>
      </c>
      <c r="B325" s="33" t="inlineStr">
        <is>
          <t>Suez and Interagua v. Argentina</t>
        </is>
      </c>
      <c r="C325" s="33" t="inlineStr">
        <is>
          <t>Suez, Sociedad General de Aguas de Barcelona, S.A. and Interagua Servicios Integrales de Agua, S.A. v. Argentine Republic (ICSID Case No. ARB/03/17)</t>
        </is>
      </c>
      <c r="D325" s="33" t="inlineStr">
        <is>
          <t>Argentina</t>
        </is>
      </c>
      <c r="E325" s="33" t="inlineStr">
        <is>
          <t>América del Sur</t>
        </is>
      </c>
      <c r="F325" s="33" t="inlineStr">
        <is>
          <t>France</t>
        </is>
      </c>
      <c r="G325" s="33" t="n">
        <v>2003</v>
      </c>
      <c r="H325" s="33" t="inlineStr">
        <is>
          <t>Sí con daños</t>
        </is>
      </c>
      <c r="I325" s="33" t="inlineStr">
        <is>
          <t>Sí</t>
        </is>
      </c>
      <c r="J325" s="33" t="inlineStr">
        <is>
          <t>TJE - Trato Justo y Equitativo | Expropiación | NMF</t>
        </is>
      </c>
      <c r="K325" s="33" t="inlineStr">
        <is>
          <t>257.70 USD</t>
        </is>
      </c>
      <c r="L325" s="33" t="inlineStr">
        <is>
          <t>225.70 USD</t>
        </is>
      </c>
      <c r="M325" s="33" t="inlineStr">
        <is>
          <t>Tertiary - E - Water supply; sewerage, waste management and remediation activities</t>
        </is>
      </c>
      <c r="N325" s="33" t="inlineStr">
        <is>
          <t>Rescisión de contrato</t>
        </is>
      </c>
      <c r="O325" s="33" t="inlineStr">
        <is>
          <t>Argentina - France BIT (1991);
Argentina - Spain BIT (1991)</t>
        </is>
      </c>
      <c r="P325" s="33" t="inlineStr"/>
      <c r="Q325" s="33" t="inlineStr">
        <is>
          <t>Salacuse, J. W. - President; Kaufmann-Kohler, G. - Claimant; Nikken, P. - Respondent</t>
        </is>
      </c>
      <c r="R325" s="33" t="inlineStr">
        <is>
          <t>ICSID annulment proceedings</t>
        </is>
      </c>
      <c r="S325" s="33" t="inlineStr">
        <is>
          <t>Award/decision upheld ICSID annulment proceedings</t>
        </is>
      </c>
      <c r="T325" s="33" t="inlineStr">
        <is>
          <t>Indeterminado</t>
        </is>
      </c>
      <c r="U325" s="33" t="inlineStr">
        <is>
          <t>http://www.italaw.com/cases/1048</t>
        </is>
      </c>
      <c r="V325" s="33" t="inlineStr">
        <is>
          <t>Sí</t>
        </is>
      </c>
    </row>
    <row r="326">
      <c r="A326" s="33" t="n">
        <v>325</v>
      </c>
      <c r="B326" s="33" t="inlineStr">
        <is>
          <t>Suez and Vivendi v. Argentina (II)</t>
        </is>
      </c>
      <c r="C326" s="33" t="inlineStr">
        <is>
          <t>Suez, Sociedad General de Aguas de Barcelona, S.A. and Vivendi Universal, S.A. (formerly Aguas Argentinas, S.A., Suez, Sociedad General de Aguas de Barcelona, S.A. and Vivendi Universal, S.A.) v. Argentine Republic (II) (ICSID Case No. ARB/03/19)</t>
        </is>
      </c>
      <c r="D326" s="33" t="inlineStr">
        <is>
          <t>Argentina</t>
        </is>
      </c>
      <c r="E326" s="33" t="inlineStr">
        <is>
          <t>América del Sur</t>
        </is>
      </c>
      <c r="F326" s="33" t="inlineStr">
        <is>
          <t>France;
Spain</t>
        </is>
      </c>
      <c r="G326" s="33" t="n">
        <v>2003</v>
      </c>
      <c r="H326" s="33" t="inlineStr">
        <is>
          <t>Sí con daños</t>
        </is>
      </c>
      <c r="I326" s="33" t="inlineStr">
        <is>
          <t>Sí</t>
        </is>
      </c>
      <c r="J326" s="33" t="inlineStr">
        <is>
          <t>TJE - Trato Justo y Equitativo | NMF</t>
        </is>
      </c>
      <c r="K326" s="33" t="inlineStr">
        <is>
          <t>834.10 USD</t>
        </is>
      </c>
      <c r="L326" s="33" t="inlineStr">
        <is>
          <t>383.60 USD</t>
        </is>
      </c>
      <c r="M326" s="33" t="inlineStr">
        <is>
          <t>Tertiary - E - Water supply; sewerage, waste management and remediation activities</t>
        </is>
      </c>
      <c r="N326" s="33" t="inlineStr">
        <is>
          <t>Rescisión de contrato</t>
        </is>
      </c>
      <c r="O326" s="33" t="inlineStr">
        <is>
          <t>Argentina - France BIT (1991);
Argentina - Spain BIT (1991)</t>
        </is>
      </c>
      <c r="P326" s="33" t="inlineStr"/>
      <c r="Q326" s="33" t="inlineStr">
        <is>
          <t>Salacuse, J. W. - President; Kaufmann-Kohler, G. - Claimant; Nikken, P. - Respondent</t>
        </is>
      </c>
      <c r="R326" s="33" t="inlineStr">
        <is>
          <t>ICSID annulment proceedings</t>
        </is>
      </c>
      <c r="S326" s="33" t="inlineStr">
        <is>
          <t>Award/decision upheld ICSID annulment proceedings</t>
        </is>
      </c>
      <c r="T326" s="33" t="inlineStr">
        <is>
          <t>Indeterminado</t>
        </is>
      </c>
      <c r="U326" s="33" t="inlineStr">
        <is>
          <t>http://www.italaw.com/cases/1057</t>
        </is>
      </c>
      <c r="V326" s="33" t="inlineStr">
        <is>
          <t>Sí</t>
        </is>
      </c>
    </row>
    <row r="327">
      <c r="A327" s="31" t="n">
        <v>326</v>
      </c>
      <c r="B327" s="31" t="inlineStr">
        <is>
          <t>Ahmonseto v. Egypt</t>
        </is>
      </c>
      <c r="C327" s="31" t="inlineStr">
        <is>
          <t>Ahmonseto, Inc. and others v. Arab Republic of Egypt (ICSID Case No. ARB/02/15)</t>
        </is>
      </c>
      <c r="D327" s="31" t="inlineStr">
        <is>
          <t>Egypt</t>
        </is>
      </c>
      <c r="E327" s="31" t="inlineStr">
        <is>
          <t>Medio Oriente/Norte África</t>
        </is>
      </c>
      <c r="F327" s="31" t="inlineStr">
        <is>
          <t>United States of America</t>
        </is>
      </c>
      <c r="G327" s="31" t="n">
        <v>2002</v>
      </c>
      <c r="H327" s="31" t="inlineStr">
        <is>
          <t>No - ganó el Estado</t>
        </is>
      </c>
      <c r="I327" s="31" t="inlineStr">
        <is>
          <t>No</t>
        </is>
      </c>
      <c r="J327" s="31" t="inlineStr"/>
      <c r="K327" s="31" t="inlineStr">
        <is>
          <t>100.00 USD</t>
        </is>
      </c>
      <c r="L327" s="31" t="inlineStr"/>
      <c r="M327" s="31" t="inlineStr">
        <is>
          <t>Secondary - C - Manufacturing</t>
        </is>
      </c>
      <c r="N327" s="31" t="inlineStr"/>
      <c r="O327" s="31" t="inlineStr">
        <is>
          <t>Egypt - United States of America BIT (1986)</t>
        </is>
      </c>
      <c r="P327" s="31" t="inlineStr"/>
      <c r="Q327" s="31" t="inlineStr">
        <is>
          <t>Tercier, P. - President; Fadlallah, I. - Claimant; Viandier, A. - Respondent</t>
        </is>
      </c>
      <c r="R327" s="31" t="inlineStr">
        <is>
          <t>ICSID annulment proceedings</t>
        </is>
      </c>
      <c r="S327" s="31" t="inlineStr">
        <is>
          <t>Discontinued ICSID annulment proceedings</t>
        </is>
      </c>
      <c r="T327" s="31" t="inlineStr"/>
      <c r="U327" s="31" t="inlineStr">
        <is>
          <t>http://www.italaw.com/cases/62</t>
        </is>
      </c>
      <c r="V327" s="31" t="inlineStr">
        <is>
          <t>Pendiente</t>
        </is>
      </c>
    </row>
    <row r="328">
      <c r="A328" s="32" t="n">
        <v>327</v>
      </c>
      <c r="B328" s="32" t="inlineStr">
        <is>
          <t>Champion Trading and Ameritrade v. Egypt</t>
        </is>
      </c>
      <c r="C328" s="32" t="inlineStr">
        <is>
          <t>Champion Trading Company and Ameritrade International, Inc. v. Arab Republic of Egypt (ICSID Case No. ARB/02/9)</t>
        </is>
      </c>
      <c r="D328" s="32" t="inlineStr">
        <is>
          <t>Egypt</t>
        </is>
      </c>
      <c r="E328" s="32" t="inlineStr">
        <is>
          <t>Medio Oriente/Norte África</t>
        </is>
      </c>
      <c r="F328" s="32" t="inlineStr">
        <is>
          <t>United States of America</t>
        </is>
      </c>
      <c r="G328" s="32" t="n">
        <v>2002</v>
      </c>
      <c r="H328" s="32" t="inlineStr">
        <is>
          <t>No - ganó el Estado</t>
        </is>
      </c>
      <c r="I328" s="32" t="inlineStr">
        <is>
          <t>No</t>
        </is>
      </c>
      <c r="J328" s="32" t="inlineStr"/>
      <c r="K328" s="32" t="inlineStr">
        <is>
          <t>365.00 USD</t>
        </is>
      </c>
      <c r="L328" s="32" t="inlineStr"/>
      <c r="M328" s="32" t="inlineStr">
        <is>
          <t>Primary - A - Agriculture, forestry and fishing</t>
        </is>
      </c>
      <c r="N328" s="32" t="inlineStr"/>
      <c r="O328" s="32" t="inlineStr">
        <is>
          <t>Egypt - United States of America BIT (1986)</t>
        </is>
      </c>
      <c r="P328" s="32" t="inlineStr"/>
      <c r="Q328" s="32" t="inlineStr">
        <is>
          <t>Briner, R. - President; Fortier, L. Y. - Claimant; Aynès, L. - Respondent</t>
        </is>
      </c>
      <c r="R328" s="32" t="inlineStr"/>
      <c r="S328" s="32" t="inlineStr"/>
      <c r="T328" s="32" t="inlineStr">
        <is>
          <t>Indeterminado</t>
        </is>
      </c>
      <c r="U328" s="32" t="inlineStr">
        <is>
          <t>http://www.italaw.com/cases/245</t>
        </is>
      </c>
      <c r="V328" s="32" t="inlineStr">
        <is>
          <t>Sí</t>
        </is>
      </c>
    </row>
    <row r="329">
      <c r="A329" s="32" t="n">
        <v>328</v>
      </c>
      <c r="B329" s="32" t="inlineStr">
        <is>
          <t>Fireman's Fund v. Mexico</t>
        </is>
      </c>
      <c r="C329" s="32" t="inlineStr">
        <is>
          <t>Fireman's Fund Insurance Company v. The United Mexican States (ICSID Case No. ARB(AF)/02/1)</t>
        </is>
      </c>
      <c r="D329" s="32" t="inlineStr">
        <is>
          <t>Mexico</t>
        </is>
      </c>
      <c r="E329" s="32" t="inlineStr">
        <is>
          <t>América del Norte</t>
        </is>
      </c>
      <c r="F329" s="32" t="inlineStr">
        <is>
          <t>United States of America</t>
        </is>
      </c>
      <c r="G329" s="32" t="n">
        <v>2002</v>
      </c>
      <c r="H329" s="32" t="inlineStr">
        <is>
          <t>No - ganó el Estado</t>
        </is>
      </c>
      <c r="I329" s="32" t="inlineStr">
        <is>
          <t>No</t>
        </is>
      </c>
      <c r="J329" s="32" t="inlineStr">
        <is>
          <t>Expropiación</t>
        </is>
      </c>
      <c r="K329" s="32" t="inlineStr">
        <is>
          <t>50.00 USD</t>
        </is>
      </c>
      <c r="L329" s="32" t="inlineStr"/>
      <c r="M329" s="32" t="inlineStr">
        <is>
          <t>Tertiary - K - Financial and insurance activities</t>
        </is>
      </c>
      <c r="N329" s="32" t="inlineStr">
        <is>
          <t>Medida legislativa | Incumplimiento contractual | Revocación de licencia</t>
        </is>
      </c>
      <c r="O329" s="32" t="inlineStr">
        <is>
          <t>NAFTA (1992)</t>
        </is>
      </c>
      <c r="P329" s="32" t="inlineStr">
        <is>
          <t>Joint venture</t>
        </is>
      </c>
      <c r="Q329" s="32" t="inlineStr">
        <is>
          <t>van den Berg, A. J. - President; Lowenfeld, A. F. - Claimant; Saavedra Olavarrieta, A. G. - Respondent; Carrillo Gamboa, F. - Respondent (replaced)</t>
        </is>
      </c>
      <c r="R329" s="32" t="inlineStr"/>
      <c r="S329" s="32" t="inlineStr"/>
      <c r="T329" s="32" t="inlineStr">
        <is>
          <t>Español</t>
        </is>
      </c>
      <c r="U329" s="32" t="inlineStr">
        <is>
          <t>http://www.italaw.com/cases/443</t>
        </is>
      </c>
      <c r="V329" s="32" t="inlineStr">
        <is>
          <t>Sí</t>
        </is>
      </c>
    </row>
    <row r="330">
      <c r="A330" s="33" t="n">
        <v>329</v>
      </c>
      <c r="B330" s="33" t="inlineStr">
        <is>
          <t>LG&amp;E v. Argentina</t>
        </is>
      </c>
      <c r="C330" s="33" t="inlineStr">
        <is>
          <t>LG&amp;E Energy Corp., LG&amp;E Capital Corp. and LG&amp;E International Inc. v. Argentine Republic (ICSID Case No. ARB/02/1)</t>
        </is>
      </c>
      <c r="D330" s="33" t="inlineStr">
        <is>
          <t>Argentina</t>
        </is>
      </c>
      <c r="E330" s="33" t="inlineStr">
        <is>
          <t>América del Sur</t>
        </is>
      </c>
      <c r="F330" s="33" t="inlineStr">
        <is>
          <t>United States of America</t>
        </is>
      </c>
      <c r="G330" s="33" t="n">
        <v>2002</v>
      </c>
      <c r="H330" s="33" t="inlineStr">
        <is>
          <t>Sí con daños</t>
        </is>
      </c>
      <c r="I330" s="33" t="inlineStr">
        <is>
          <t>Sí</t>
        </is>
      </c>
      <c r="J330" s="33" t="inlineStr">
        <is>
          <t>TJE - Trato Justo y Equitativo | Expropiación</t>
        </is>
      </c>
      <c r="K330" s="33" t="inlineStr">
        <is>
          <t>268.00 USD</t>
        </is>
      </c>
      <c r="L330" s="33" t="inlineStr">
        <is>
          <t>57.40 USD</t>
        </is>
      </c>
      <c r="M330" s="33" t="inlineStr">
        <is>
          <t>Tertiary - D - Electricity, gas, steam and air conditioning supply</t>
        </is>
      </c>
      <c r="N330" s="33" t="inlineStr">
        <is>
          <t>Medidas emergencia económica</t>
        </is>
      </c>
      <c r="O330" s="33" t="inlineStr">
        <is>
          <t>Argentina - United States of America BIT (1991)</t>
        </is>
      </c>
      <c r="P330" s="33" t="inlineStr"/>
      <c r="Q330" s="33" t="inlineStr">
        <is>
          <t>Bogdanowsky de Maekelt, T. - President; van den Berg, A. J. - Claimant; Rezek, F. - Respondent</t>
        </is>
      </c>
      <c r="R330" s="33" t="inlineStr">
        <is>
          <t>ICSID annulment proceedings</t>
        </is>
      </c>
      <c r="S330" s="33" t="inlineStr">
        <is>
          <t>Discontinued ICSID annulment proceedings</t>
        </is>
      </c>
      <c r="T330" s="33" t="inlineStr">
        <is>
          <t>Inglés</t>
        </is>
      </c>
      <c r="U330" s="33" t="inlineStr">
        <is>
          <t>http://www.italaw.com/cases/621</t>
        </is>
      </c>
      <c r="V330" s="33" t="inlineStr">
        <is>
          <t>Sí</t>
        </is>
      </c>
    </row>
    <row r="331">
      <c r="A331" s="33" t="n">
        <v>330</v>
      </c>
      <c r="B331" s="33" t="inlineStr">
        <is>
          <t>PSEG v. Turkey</t>
        </is>
      </c>
      <c r="C331" s="33" t="inlineStr">
        <is>
          <t>PSEG Global Inc. and Konya Ilgin Elektrik Üretim ve Ticaret Limited Sirketi v. Republic of Turkey (ICSID Case No. ARB/02/5)</t>
        </is>
      </c>
      <c r="D331" s="33" t="inlineStr">
        <is>
          <t>Türkiye</t>
        </is>
      </c>
      <c r="E331" s="33" t="inlineStr">
        <is>
          <t>Sin clasificar</t>
        </is>
      </c>
      <c r="F331" s="33" t="inlineStr">
        <is>
          <t>United States of America</t>
        </is>
      </c>
      <c r="G331" s="33" t="n">
        <v>2002</v>
      </c>
      <c r="H331" s="33" t="inlineStr">
        <is>
          <t>Sí con daños</t>
        </is>
      </c>
      <c r="I331" s="33" t="inlineStr">
        <is>
          <t>Sí</t>
        </is>
      </c>
      <c r="J331" s="33" t="inlineStr">
        <is>
          <t>TJE - Trato Justo y Equitativo | Expropiación | Protección y Seguridad Plenas</t>
        </is>
      </c>
      <c r="K331" s="33" t="inlineStr">
        <is>
          <t>224.00 USD</t>
        </is>
      </c>
      <c r="L331" s="33" t="inlineStr">
        <is>
          <t>9.00 USD</t>
        </is>
      </c>
      <c r="M331" s="33" t="inlineStr">
        <is>
          <t>Tertiary - D - Electricity, gas, steam and air conditioning supply</t>
        </is>
      </c>
      <c r="N331" s="33" t="inlineStr">
        <is>
          <t>Expropiación recursos naturales</t>
        </is>
      </c>
      <c r="O331" s="33" t="inlineStr">
        <is>
          <t>Turkey - United States of America BIT (1985)</t>
        </is>
      </c>
      <c r="P331" s="33" t="inlineStr"/>
      <c r="Q331" s="33" t="inlineStr">
        <is>
          <t>Orrego Vicuña, F. - President; Fortier, L. Y. - Claimant; Kaufmann-Kohler, G. - Respondent</t>
        </is>
      </c>
      <c r="R331" s="33" t="inlineStr"/>
      <c r="S331" s="33" t="inlineStr"/>
      <c r="T331" s="33" t="inlineStr">
        <is>
          <t>Inglés</t>
        </is>
      </c>
      <c r="U331" s="33" t="inlineStr">
        <is>
          <t>http://www.italaw.com/cases/880</t>
        </is>
      </c>
      <c r="V331" s="33" t="inlineStr">
        <is>
          <t>Sí</t>
        </is>
      </c>
    </row>
    <row r="332">
      <c r="A332" s="32" t="n">
        <v>331</v>
      </c>
      <c r="B332" s="32" t="inlineStr">
        <is>
          <t>Salini v. Jordan</t>
        </is>
      </c>
      <c r="C332" s="32" t="inlineStr">
        <is>
          <t>Salini Costruttori S.p.A. and Italstrade S.p.A. v. Hashemite Kingdom of Jordan (ICSID Case No. ARB/02/13)</t>
        </is>
      </c>
      <c r="D332" s="32" t="inlineStr">
        <is>
          <t>Jordan</t>
        </is>
      </c>
      <c r="E332" s="32" t="inlineStr">
        <is>
          <t>Medio Oriente/Norte África</t>
        </is>
      </c>
      <c r="F332" s="32" t="inlineStr">
        <is>
          <t>Italy</t>
        </is>
      </c>
      <c r="G332" s="32" t="n">
        <v>2002</v>
      </c>
      <c r="H332" s="32" t="inlineStr">
        <is>
          <t>No - ganó el Estado</t>
        </is>
      </c>
      <c r="I332" s="32" t="inlineStr">
        <is>
          <t>No</t>
        </is>
      </c>
      <c r="J332" s="32" t="inlineStr">
        <is>
          <t>Expropiación | Cláusula Paraguas | NMF</t>
        </is>
      </c>
      <c r="K332" s="32" t="inlineStr">
        <is>
          <t>28.00 USD</t>
        </is>
      </c>
      <c r="L332" s="32" t="inlineStr"/>
      <c r="M332" s="32" t="inlineStr">
        <is>
          <t>Tertiary - F - Construction</t>
        </is>
      </c>
      <c r="N332" s="32" t="inlineStr"/>
      <c r="O332" s="32" t="inlineStr">
        <is>
          <t>Italy - Jordan BIT (1996)</t>
        </is>
      </c>
      <c r="P332" s="32" t="inlineStr"/>
      <c r="Q332" s="32" t="inlineStr">
        <is>
          <t>Guillaume, G. - President; Cremades, B. M. - Claimant; Sinclair, I. - Respondent; Schwartz, E. - Respondent (replaced)</t>
        </is>
      </c>
      <c r="R332" s="32" t="inlineStr"/>
      <c r="S332" s="32" t="inlineStr"/>
      <c r="T332" s="32" t="inlineStr">
        <is>
          <t>Inglés</t>
        </is>
      </c>
      <c r="U332" s="32" t="inlineStr">
        <is>
          <t>http://www.italaw.com/cases/954</t>
        </is>
      </c>
      <c r="V332" s="32" t="inlineStr">
        <is>
          <t>Sí</t>
        </is>
      </c>
    </row>
    <row r="333">
      <c r="A333" s="33" t="n">
        <v>332</v>
      </c>
      <c r="B333" s="33" t="inlineStr">
        <is>
          <t>Sempra v. Argentina</t>
        </is>
      </c>
      <c r="C333" s="33" t="inlineStr">
        <is>
          <t>Sempra Energy International v. Argentine Republic (ICSID Case No. ARB/02/16)</t>
        </is>
      </c>
      <c r="D333" s="33" t="inlineStr">
        <is>
          <t>Argentina</t>
        </is>
      </c>
      <c r="E333" s="33" t="inlineStr">
        <is>
          <t>América del Sur</t>
        </is>
      </c>
      <c r="F333" s="33" t="inlineStr">
        <is>
          <t>United States of America</t>
        </is>
      </c>
      <c r="G333" s="33" t="n">
        <v>2002</v>
      </c>
      <c r="H333" s="33" t="inlineStr">
        <is>
          <t>Sí con daños</t>
        </is>
      </c>
      <c r="I333" s="33" t="inlineStr">
        <is>
          <t>Sí</t>
        </is>
      </c>
      <c r="J333" s="33" t="inlineStr"/>
      <c r="K333" s="33" t="inlineStr">
        <is>
          <t>209.00 USD</t>
        </is>
      </c>
      <c r="L333" s="33" t="inlineStr">
        <is>
          <t>128.00 USD</t>
        </is>
      </c>
      <c r="M333" s="33" t="inlineStr">
        <is>
          <t>Tertiary - D - Electricity, gas, steam and air conditioning supply</t>
        </is>
      </c>
      <c r="N333" s="33" t="inlineStr">
        <is>
          <t>Medidas emergencia económica</t>
        </is>
      </c>
      <c r="O333" s="33" t="inlineStr">
        <is>
          <t>Argentina - United States of America BIT (1991)</t>
        </is>
      </c>
      <c r="P333" s="33" t="inlineStr"/>
      <c r="Q333" s="33" t="inlineStr">
        <is>
          <t>Orrego Vicuña, F. - President; Lalonde, M. - Claimant; Morelli Rico, S. - Respondent</t>
        </is>
      </c>
      <c r="R333" s="33" t="inlineStr">
        <is>
          <t>ICSID annulment proceedings;
ICSID resubmission proceedings</t>
        </is>
      </c>
      <c r="S333" s="33" t="inlineStr">
        <is>
          <t>Award/decision annulled in its entirety ICSID annulment proceedings;
Discontinued for unknown reasons ICSID resubmission proceedings</t>
        </is>
      </c>
      <c r="T333" s="33" t="inlineStr">
        <is>
          <t>Indeterminado</t>
        </is>
      </c>
      <c r="U333" s="33" t="inlineStr">
        <is>
          <t>http://www.italaw.com/cases/1002</t>
        </is>
      </c>
      <c r="V333" s="33" t="inlineStr">
        <is>
          <t>Sí</t>
        </is>
      </c>
    </row>
    <row r="334">
      <c r="A334" s="33" t="n">
        <v>333</v>
      </c>
      <c r="B334" s="33" t="inlineStr">
        <is>
          <t>Siemens v. Argentina</t>
        </is>
      </c>
      <c r="C334" s="33" t="inlineStr">
        <is>
          <t>Siemens A.G. v. The Argentine Republic (ICSID Case No. ARB/02/8)</t>
        </is>
      </c>
      <c r="D334" s="33" t="inlineStr">
        <is>
          <t>Argentina</t>
        </is>
      </c>
      <c r="E334" s="33" t="inlineStr">
        <is>
          <t>América del Sur</t>
        </is>
      </c>
      <c r="F334" s="33" t="inlineStr">
        <is>
          <t>Germany</t>
        </is>
      </c>
      <c r="G334" s="33" t="n">
        <v>2002</v>
      </c>
      <c r="H334" s="33" t="inlineStr">
        <is>
          <t>Sí con daños</t>
        </is>
      </c>
      <c r="I334" s="33" t="inlineStr">
        <is>
          <t>Sí</t>
        </is>
      </c>
      <c r="J334" s="33" t="inlineStr">
        <is>
          <t>TJE - Trato Justo y Equitativo | Expropiación | Cláusula Paraguas | NMF - Nación Más Favorecida</t>
        </is>
      </c>
      <c r="K334" s="33" t="inlineStr">
        <is>
          <t>462.50 USD</t>
        </is>
      </c>
      <c r="L334" s="33" t="inlineStr">
        <is>
          <t>237.80 USD</t>
        </is>
      </c>
      <c r="M334" s="33" t="inlineStr">
        <is>
          <t>Tertiary - O - Public administration and defence; compulsory social security</t>
        </is>
      </c>
      <c r="N334" s="33" t="inlineStr"/>
      <c r="O334" s="33" t="inlineStr">
        <is>
          <t>Argentina - Germany BIT (1991)</t>
        </is>
      </c>
      <c r="P334" s="33" t="inlineStr"/>
      <c r="Q334" s="33" t="inlineStr">
        <is>
          <t>Rigo Sureda, A. - President; Brower, C. N. - Claimant; Bello Janeiro, D. - Respondent</t>
        </is>
      </c>
      <c r="R334" s="33" t="inlineStr">
        <is>
          <t>ICSID annulment proceedings</t>
        </is>
      </c>
      <c r="S334" s="33" t="inlineStr">
        <is>
          <t>Discontinued ICSID annulment proceedings</t>
        </is>
      </c>
      <c r="T334" s="33" t="inlineStr">
        <is>
          <t>Inglés</t>
        </is>
      </c>
      <c r="U334" s="33" t="inlineStr">
        <is>
          <t>http://www.italaw.com/cases/1026</t>
        </is>
      </c>
      <c r="V334" s="33" t="inlineStr">
        <is>
          <t>Sí</t>
        </is>
      </c>
    </row>
    <row r="335">
      <c r="A335" s="32" t="n">
        <v>334</v>
      </c>
      <c r="B335" s="32" t="inlineStr">
        <is>
          <t>Soufraki v. UAE</t>
        </is>
      </c>
      <c r="C335" s="32" t="inlineStr">
        <is>
          <t>Hussein Nauman Soufraki v. United Arab Emirates (ICSID Case No. ARB/02/7)</t>
        </is>
      </c>
      <c r="D335" s="32" t="inlineStr">
        <is>
          <t>United Arab Emirates</t>
        </is>
      </c>
      <c r="E335" s="32" t="inlineStr">
        <is>
          <t>Medio Oriente/Norte África</t>
        </is>
      </c>
      <c r="F335" s="32" t="inlineStr">
        <is>
          <t>Italy</t>
        </is>
      </c>
      <c r="G335" s="32" t="n">
        <v>2002</v>
      </c>
      <c r="H335" s="32" t="inlineStr">
        <is>
          <t>No - ganó el Estado</t>
        </is>
      </c>
      <c r="I335" s="32" t="inlineStr">
        <is>
          <t>No</t>
        </is>
      </c>
      <c r="J335" s="32" t="inlineStr"/>
      <c r="K335" s="32" t="inlineStr">
        <is>
          <t>580.00 USD</t>
        </is>
      </c>
      <c r="L335" s="32" t="inlineStr"/>
      <c r="M335" s="32" t="inlineStr">
        <is>
          <t>Tertiary - F - Construction</t>
        </is>
      </c>
      <c r="N335" s="32" t="inlineStr"/>
      <c r="O335" s="32" t="inlineStr">
        <is>
          <t>Italy - United Arab Emirates BIT (1995)</t>
        </is>
      </c>
      <c r="P335" s="32" t="inlineStr"/>
      <c r="Q335" s="32" t="inlineStr">
        <is>
          <t>Fortier, L. Y. - President; Schwebel, S. M. - Claimant; El Kholy, A. - Respondent</t>
        </is>
      </c>
      <c r="R335" s="32" t="inlineStr">
        <is>
          <t>ICSID annulment proceedings</t>
        </is>
      </c>
      <c r="S335" s="32" t="inlineStr">
        <is>
          <t>Award/decision upheld ICSID annulment proceedings</t>
        </is>
      </c>
      <c r="T335" s="32" t="inlineStr">
        <is>
          <t>Indeterminado</t>
        </is>
      </c>
      <c r="U335" s="32" t="inlineStr">
        <is>
          <t>http://www.italaw.com/cases/1041</t>
        </is>
      </c>
      <c r="V335" s="32" t="inlineStr">
        <is>
          <t>Sí</t>
        </is>
      </c>
    </row>
    <row r="336">
      <c r="A336" s="32" t="n">
        <v>335</v>
      </c>
      <c r="B336" s="32" t="inlineStr">
        <is>
          <t>Tokios Tokelés v. Ukraine</t>
        </is>
      </c>
      <c r="C336" s="32" t="inlineStr">
        <is>
          <t>Tokios Tokelés v. Ukraine (ICSID Case No. ARB/02/18)</t>
        </is>
      </c>
      <c r="D336" s="32" t="inlineStr">
        <is>
          <t>Ukraine</t>
        </is>
      </c>
      <c r="E336" s="32" t="inlineStr">
        <is>
          <t>Este Europa/Asia Central</t>
        </is>
      </c>
      <c r="F336" s="32" t="inlineStr">
        <is>
          <t>Lithuania</t>
        </is>
      </c>
      <c r="G336" s="32" t="n">
        <v>2002</v>
      </c>
      <c r="H336" s="32" t="inlineStr">
        <is>
          <t>No - ganó el Estado</t>
        </is>
      </c>
      <c r="I336" s="32" t="inlineStr">
        <is>
          <t>No</t>
        </is>
      </c>
      <c r="J336" s="32" t="inlineStr">
        <is>
          <t>TJE - Trato Justo y Equitativo | Expropiación</t>
        </is>
      </c>
      <c r="K336" s="32" t="inlineStr">
        <is>
          <t>65.00 USD</t>
        </is>
      </c>
      <c r="L336" s="32" t="inlineStr"/>
      <c r="M336" s="32" t="inlineStr">
        <is>
          <t>Tertiary - J - Information and communication</t>
        </is>
      </c>
      <c r="N336" s="32" t="inlineStr"/>
      <c r="O336" s="32" t="inlineStr">
        <is>
          <t>Lithuania - Ukraine BIT (1994)</t>
        </is>
      </c>
      <c r="P336" s="32" t="inlineStr">
        <is>
          <t>100% (wholly owned)</t>
        </is>
      </c>
      <c r="Q336" s="32" t="inlineStr">
        <is>
          <t>Mustill, M. - President; Weil, P. - President (replaced); Price, D. M. - Claimant; Bernardini, P. - Respondent</t>
        </is>
      </c>
      <c r="R336" s="32" t="inlineStr"/>
      <c r="S336" s="32" t="inlineStr"/>
      <c r="T336" s="32" t="inlineStr">
        <is>
          <t>Inglés</t>
        </is>
      </c>
      <c r="U336" s="32" t="inlineStr">
        <is>
          <t>http://www.italaw.com/cases/1099</t>
        </is>
      </c>
      <c r="V336" s="32" t="inlineStr">
        <is>
          <t>Sí</t>
        </is>
      </c>
    </row>
    <row r="337">
      <c r="A337" s="33" t="n">
        <v>336</v>
      </c>
      <c r="B337" s="33" t="inlineStr">
        <is>
          <t>AIG v. Kazakhstan</t>
        </is>
      </c>
      <c r="C337" s="33" t="inlineStr">
        <is>
          <t>AIG Capital Partners, Inc. and CJSC Tema Real Estate Company v. Republic of Kazakhstan (ICSID Case No. ARB/01/6)</t>
        </is>
      </c>
      <c r="D337" s="33" t="inlineStr">
        <is>
          <t>Kazakhstan</t>
        </is>
      </c>
      <c r="E337" s="33" t="inlineStr">
        <is>
          <t>Este Europa/Asia Central</t>
        </is>
      </c>
      <c r="F337" s="33" t="inlineStr">
        <is>
          <t>United States of America</t>
        </is>
      </c>
      <c r="G337" s="33" t="n">
        <v>2001</v>
      </c>
      <c r="H337" s="33" t="inlineStr">
        <is>
          <t>Sí con daños</t>
        </is>
      </c>
      <c r="I337" s="33" t="inlineStr">
        <is>
          <t>Sí</t>
        </is>
      </c>
      <c r="J337" s="33" t="inlineStr">
        <is>
          <t>Expropiación | Protección y Seguridad Plenas</t>
        </is>
      </c>
      <c r="K337" s="33" t="inlineStr">
        <is>
          <t>13.50 USD</t>
        </is>
      </c>
      <c r="L337" s="33" t="inlineStr">
        <is>
          <t>6.00 USD</t>
        </is>
      </c>
      <c r="M337" s="33" t="inlineStr">
        <is>
          <t>Tertiary - L - Real estate activities</t>
        </is>
      </c>
      <c r="N337" s="33" t="inlineStr">
        <is>
          <t>Decreto/Reglamento | Medida legislativa | Incumplimiento contractual | Expropiación de activos | Revocación de licencia</t>
        </is>
      </c>
      <c r="O337" s="33" t="inlineStr">
        <is>
          <t>Kazakhstan - United States of America BIT (1992)</t>
        </is>
      </c>
      <c r="P337" s="33" t="inlineStr">
        <is>
          <t>Inversión indirecta (holding)</t>
        </is>
      </c>
      <c r="Q337" s="33" t="inlineStr">
        <is>
          <t>Nariman, F. S. - President; Bernardini, P. - Claimant; Vukmir, B. - Respondent</t>
        </is>
      </c>
      <c r="R337" s="33" t="inlineStr"/>
      <c r="S337" s="33" t="inlineStr"/>
      <c r="T337" s="33" t="inlineStr">
        <is>
          <t>Inglés</t>
        </is>
      </c>
      <c r="U337" s="33" t="inlineStr">
        <is>
          <t>http://www.italaw.com/cases/64</t>
        </is>
      </c>
      <c r="V337" s="33" t="inlineStr">
        <is>
          <t>Sí</t>
        </is>
      </c>
    </row>
    <row r="338">
      <c r="A338" s="33" t="n">
        <v>337</v>
      </c>
      <c r="B338" s="33" t="inlineStr">
        <is>
          <t>Azurix v. Argentina (I)</t>
        </is>
      </c>
      <c r="C338" s="33" t="inlineStr">
        <is>
          <t>Azurix Corp. v. The Argentine Republic (I) (ICSID Case No. ARB/01/12)</t>
        </is>
      </c>
      <c r="D338" s="33" t="inlineStr">
        <is>
          <t>Argentina</t>
        </is>
      </c>
      <c r="E338" s="33" t="inlineStr">
        <is>
          <t>América del Sur</t>
        </is>
      </c>
      <c r="F338" s="33" t="inlineStr">
        <is>
          <t>United States of America</t>
        </is>
      </c>
      <c r="G338" s="33" t="n">
        <v>2001</v>
      </c>
      <c r="H338" s="33" t="inlineStr">
        <is>
          <t>Sí con daños</t>
        </is>
      </c>
      <c r="I338" s="33" t="inlineStr">
        <is>
          <t>Sí</t>
        </is>
      </c>
      <c r="J338" s="33" t="inlineStr">
        <is>
          <t>TJE - Trato Justo y Equitativo | Expropiación</t>
        </is>
      </c>
      <c r="K338" s="33" t="inlineStr">
        <is>
          <t>685.00 USD</t>
        </is>
      </c>
      <c r="L338" s="33" t="inlineStr">
        <is>
          <t>165.20 USD</t>
        </is>
      </c>
      <c r="M338" s="33" t="inlineStr">
        <is>
          <t>Tertiary - E - Water supply; sewerage, waste management and remediation activities;
Tertiary - E - Water supply; sewerage, waste management and remediation activities</t>
        </is>
      </c>
      <c r="N338" s="33" t="inlineStr">
        <is>
          <t>Rescisión de contrato</t>
        </is>
      </c>
      <c r="O338" s="33" t="inlineStr">
        <is>
          <t>Argentina - United States of America BIT (1991)</t>
        </is>
      </c>
      <c r="P338" s="33" t="inlineStr"/>
      <c r="Q338" s="33" t="inlineStr">
        <is>
          <t>Rigo Sureda, A. - President; Lalonde, M. - Claimant; Martins, D. H. - Respondent</t>
        </is>
      </c>
      <c r="R338" s="33" t="inlineStr">
        <is>
          <t>ICSID annulment proceedings</t>
        </is>
      </c>
      <c r="S338" s="33" t="inlineStr">
        <is>
          <t>Award/decision upheld ICSID annulment proceedings</t>
        </is>
      </c>
      <c r="T338" s="33" t="inlineStr">
        <is>
          <t>Indeterminado</t>
        </is>
      </c>
      <c r="U338" s="33" t="inlineStr">
        <is>
          <t>http://www.italaw.com/cases/118</t>
        </is>
      </c>
      <c r="V338" s="33" t="inlineStr">
        <is>
          <t>Sí</t>
        </is>
      </c>
    </row>
    <row r="339">
      <c r="A339" s="33" t="n">
        <v>338</v>
      </c>
      <c r="B339" s="33" t="inlineStr">
        <is>
          <t>CMS v. Argentina</t>
        </is>
      </c>
      <c r="C339" s="33" t="inlineStr">
        <is>
          <t>CMS Gas Transmission Company v. The Argentine Republic (ICSID Case No. ARB/01/8)</t>
        </is>
      </c>
      <c r="D339" s="33" t="inlineStr">
        <is>
          <t>Argentina</t>
        </is>
      </c>
      <c r="E339" s="33" t="inlineStr">
        <is>
          <t>América del Sur</t>
        </is>
      </c>
      <c r="F339" s="33" t="inlineStr">
        <is>
          <t>United States of America</t>
        </is>
      </c>
      <c r="G339" s="33" t="n">
        <v>2001</v>
      </c>
      <c r="H339" s="33" t="inlineStr">
        <is>
          <t>Sí con daños</t>
        </is>
      </c>
      <c r="I339" s="33" t="inlineStr">
        <is>
          <t>Sí</t>
        </is>
      </c>
      <c r="J339" s="33" t="inlineStr">
        <is>
          <t>TJE - Trato Justo y Equitativo | Expropiación | Cláusula Paraguas</t>
        </is>
      </c>
      <c r="K339" s="33" t="inlineStr">
        <is>
          <t>261.10 USD</t>
        </is>
      </c>
      <c r="L339" s="33" t="inlineStr">
        <is>
          <t>133.20 USD</t>
        </is>
      </c>
      <c r="M339" s="33" t="inlineStr">
        <is>
          <t>Tertiary - D - Electricity, gas, steam and air conditioning supply</t>
        </is>
      </c>
      <c r="N339" s="33" t="inlineStr">
        <is>
          <t>Medidas emergencia económica</t>
        </is>
      </c>
      <c r="O339" s="33" t="inlineStr">
        <is>
          <t>Argentina - United States of America BIT (1991)</t>
        </is>
      </c>
      <c r="P339" s="33" t="inlineStr"/>
      <c r="Q339" s="33" t="inlineStr">
        <is>
          <t>Orrego Vicuña, F. - President; Lalonde, M. - Claimant; Rezek, F. - Respondent</t>
        </is>
      </c>
      <c r="R339" s="33" t="inlineStr">
        <is>
          <t>ICSID annulment proceedings;
Judicial review by national courts</t>
        </is>
      </c>
      <c r="S339" s="33" t="inlineStr">
        <is>
          <t>Award/decision partially annulled ICSID annulment proceedings;
Award/decision upheld Judicial review by national courts</t>
        </is>
      </c>
      <c r="T339" s="33" t="inlineStr">
        <is>
          <t>Español</t>
        </is>
      </c>
      <c r="U339" s="33" t="inlineStr">
        <is>
          <t>http://www.italaw.com/cases/288</t>
        </is>
      </c>
      <c r="V339" s="33" t="inlineStr">
        <is>
          <t>Sí</t>
        </is>
      </c>
    </row>
    <row r="340">
      <c r="A340" s="33" t="n">
        <v>339</v>
      </c>
      <c r="B340" s="33" t="inlineStr">
        <is>
          <t>Enron v. Argentina</t>
        </is>
      </c>
      <c r="C340" s="33" t="inlineStr">
        <is>
          <t>Enron Creditors Recovery Corporation (formerly Enron Corporation) and Ponderosa Assets, L.P. v. Argentine Republic (ICSID Case No. ARB/01/3)</t>
        </is>
      </c>
      <c r="D340" s="33" t="inlineStr">
        <is>
          <t>Argentina</t>
        </is>
      </c>
      <c r="E340" s="33" t="inlineStr">
        <is>
          <t>América del Sur</t>
        </is>
      </c>
      <c r="F340" s="33" t="inlineStr">
        <is>
          <t>United States of America</t>
        </is>
      </c>
      <c r="G340" s="33" t="n">
        <v>2001</v>
      </c>
      <c r="H340" s="33" t="inlineStr">
        <is>
          <t>Sí con daños</t>
        </is>
      </c>
      <c r="I340" s="33" t="inlineStr">
        <is>
          <t>Sí</t>
        </is>
      </c>
      <c r="J340" s="33" t="inlineStr"/>
      <c r="K340" s="33" t="inlineStr">
        <is>
          <t>582.00 USD</t>
        </is>
      </c>
      <c r="L340" s="33" t="inlineStr">
        <is>
          <t>106.20 USD</t>
        </is>
      </c>
      <c r="M340" s="33" t="inlineStr">
        <is>
          <t>Tertiary - D - Electricity, gas, steam and air conditioning supply</t>
        </is>
      </c>
      <c r="N340" s="33" t="inlineStr"/>
      <c r="O340" s="33" t="inlineStr">
        <is>
          <t>Argentina - United States of America BIT (1991)</t>
        </is>
      </c>
      <c r="P340" s="33" t="inlineStr"/>
      <c r="Q340" s="33" t="inlineStr">
        <is>
          <t>Orrego Vicuña, F. - President; Tschanz, P.-Y. - Claimant; van den Berg, A. J. - Respondent; Gros Espiell, H. - Respondent (replaced)</t>
        </is>
      </c>
      <c r="R340" s="33" t="inlineStr">
        <is>
          <t>ICSID annulment proceedings;
ICSID resubmission proceedings</t>
        </is>
      </c>
      <c r="S340" s="33" t="inlineStr">
        <is>
          <t>Award/decision partially annulled ICSID annulment proceedings;
Settled ICSID resubmission proceedings</t>
        </is>
      </c>
      <c r="T340" s="33" t="inlineStr">
        <is>
          <t>Indeterminado</t>
        </is>
      </c>
      <c r="U340" s="33" t="inlineStr">
        <is>
          <t>http://www.italaw.com/cases/401</t>
        </is>
      </c>
      <c r="V340" s="33" t="inlineStr">
        <is>
          <t>Sí</t>
        </is>
      </c>
    </row>
    <row r="341">
      <c r="A341" s="32" t="n">
        <v>340</v>
      </c>
      <c r="B341" s="32" t="inlineStr">
        <is>
          <t>F-W Oil v. Trinidad &amp; Tobago</t>
        </is>
      </c>
      <c r="C341" s="32" t="inlineStr">
        <is>
          <t>F-W Oil Interests, Inc. v. Republic of Trinidad &amp; Tobago (ICSID Case No. ARB/01/14)</t>
        </is>
      </c>
      <c r="D341" s="32" t="inlineStr">
        <is>
          <t>Trinidad and Tobago</t>
        </is>
      </c>
      <c r="E341" s="32" t="inlineStr">
        <is>
          <t>América Central/Caribe</t>
        </is>
      </c>
      <c r="F341" s="32" t="inlineStr">
        <is>
          <t>United States of America</t>
        </is>
      </c>
      <c r="G341" s="32" t="n">
        <v>2001</v>
      </c>
      <c r="H341" s="32" t="inlineStr">
        <is>
          <t>No - ganó el Estado</t>
        </is>
      </c>
      <c r="I341" s="32" t="inlineStr">
        <is>
          <t>No</t>
        </is>
      </c>
      <c r="J341" s="32" t="inlineStr">
        <is>
          <t>Expropiación</t>
        </is>
      </c>
      <c r="K341" s="32" t="inlineStr"/>
      <c r="L341" s="32" t="inlineStr"/>
      <c r="M341" s="32" t="inlineStr">
        <is>
          <t>Primary - B - Mining and quarrying</t>
        </is>
      </c>
      <c r="N341" s="32" t="inlineStr">
        <is>
          <t>Medida legislativa | Incumplimiento contractual | Expropiación de activos | Revocación de licencia</t>
        </is>
      </c>
      <c r="O341" s="32" t="inlineStr">
        <is>
          <t>Trinidad and Tobago - United States of America BIT (1994)</t>
        </is>
      </c>
      <c r="P341" s="32" t="inlineStr">
        <is>
          <t>Inversión indirecta (holding)</t>
        </is>
      </c>
      <c r="Q341" s="32" t="inlineStr">
        <is>
          <t>Nariman, F. S. - President; Berman, F. - Claimant; Mustill, M. - Respondent</t>
        </is>
      </c>
      <c r="R341" s="32" t="inlineStr"/>
      <c r="S341" s="32" t="inlineStr"/>
      <c r="T341" s="32" t="inlineStr">
        <is>
          <t>Inglés</t>
        </is>
      </c>
      <c r="U341" s="32" t="inlineStr">
        <is>
          <t>http://www.italaw.com/cases/469</t>
        </is>
      </c>
      <c r="V341" s="32" t="inlineStr">
        <is>
          <t>Sí</t>
        </is>
      </c>
    </row>
    <row r="342">
      <c r="A342" s="33" t="n">
        <v>341</v>
      </c>
      <c r="B342" s="33" t="inlineStr">
        <is>
          <t>Goetz v. Burundi (II)</t>
        </is>
      </c>
      <c r="C342" s="33" t="inlineStr">
        <is>
          <t>Antoine Goetz and others v. Republic of Burundi (II) (ICSID Case No. ARB/01/2)</t>
        </is>
      </c>
      <c r="D342" s="33" t="inlineStr">
        <is>
          <t>Burundi</t>
        </is>
      </c>
      <c r="E342" s="33" t="inlineStr">
        <is>
          <t>Sin clasificar</t>
        </is>
      </c>
      <c r="F342" s="33" t="inlineStr">
        <is>
          <t>Belgium</t>
        </is>
      </c>
      <c r="G342" s="33" t="n">
        <v>2001</v>
      </c>
      <c r="H342" s="33" t="inlineStr">
        <is>
          <t>Sí con daños</t>
        </is>
      </c>
      <c r="I342" s="33" t="inlineStr">
        <is>
          <t>Sí</t>
        </is>
      </c>
      <c r="J342" s="33" t="inlineStr">
        <is>
          <t>TJE - Trato Justo y Equitativo</t>
        </is>
      </c>
      <c r="K342" s="33" t="inlineStr">
        <is>
          <t>2.90 USD</t>
        </is>
      </c>
      <c r="L342" s="33" t="inlineStr">
        <is>
          <t>1.20 USD</t>
        </is>
      </c>
      <c r="M342" s="33" t="inlineStr">
        <is>
          <t>Primary - B - Mining and quarrying;
Tertiary - K - Financial and insurance activities</t>
        </is>
      </c>
      <c r="N342" s="33" t="inlineStr"/>
      <c r="O342" s="33" t="inlineStr">
        <is>
          <t>BLEU (Belgium-Luxembourg Economic Union) - Burundi BIT (1989)</t>
        </is>
      </c>
      <c r="P342" s="33" t="inlineStr"/>
      <c r="Q342" s="33" t="inlineStr">
        <is>
          <t>Weil, P. - President; Bredin, J.-D. - Claimant; El-Kosheri, A. S. - Respondent</t>
        </is>
      </c>
      <c r="R342" s="33" t="inlineStr"/>
      <c r="S342" s="33" t="inlineStr"/>
      <c r="T342" s="33" t="inlineStr">
        <is>
          <t>Indeterminado</t>
        </is>
      </c>
      <c r="U342" s="33" t="inlineStr">
        <is>
          <t>http://www.italaw.com/cases/1487</t>
        </is>
      </c>
      <c r="V342" s="33" t="inlineStr">
        <is>
          <t>Sí</t>
        </is>
      </c>
    </row>
    <row r="343">
      <c r="A343" s="33" t="n">
        <v>342</v>
      </c>
      <c r="B343" s="33" t="inlineStr">
        <is>
          <t>MTD v. Chile</t>
        </is>
      </c>
      <c r="C343" s="33" t="inlineStr">
        <is>
          <t>MTD Equity Sdn. Bhd. and MTD Chile S.A. v. Chile (ICSID Case No. ARB/01/7)</t>
        </is>
      </c>
      <c r="D343" s="33" t="inlineStr">
        <is>
          <t>Chile</t>
        </is>
      </c>
      <c r="E343" s="33" t="inlineStr">
        <is>
          <t>América del Sur</t>
        </is>
      </c>
      <c r="F343" s="33" t="inlineStr">
        <is>
          <t>Malaysia</t>
        </is>
      </c>
      <c r="G343" s="33" t="n">
        <v>2001</v>
      </c>
      <c r="H343" s="33" t="inlineStr">
        <is>
          <t>Sí con daños</t>
        </is>
      </c>
      <c r="I343" s="33" t="inlineStr">
        <is>
          <t>Sí</t>
        </is>
      </c>
      <c r="J343" s="33" t="inlineStr">
        <is>
          <t>TJE - Trato Justo y Equitativo | Expropiación | NMF - Nación Más Favorecida</t>
        </is>
      </c>
      <c r="K343" s="33" t="inlineStr">
        <is>
          <t>20.00 USD</t>
        </is>
      </c>
      <c r="L343" s="33" t="inlineStr">
        <is>
          <t>5.80 USD</t>
        </is>
      </c>
      <c r="M343" s="33" t="inlineStr">
        <is>
          <t>Tertiary - L - Real estate activities</t>
        </is>
      </c>
      <c r="N343" s="33" t="inlineStr">
        <is>
          <t>Decreto/Reglamento | Medida legislativa | Incumplimiento contractual | Expropiación de activos | Revocación de licencia</t>
        </is>
      </c>
      <c r="O343" s="33" t="inlineStr">
        <is>
          <t>Chile - Malaysia BIT (1992)</t>
        </is>
      </c>
      <c r="P343" s="33" t="inlineStr">
        <is>
          <t>Joint venture</t>
        </is>
      </c>
      <c r="Q343" s="33" t="inlineStr">
        <is>
          <t>Rigo Sureda, A. - President; Aguilar Álvarez, G. - President (replaced); Lalonde, M. - Claimant; Carter, J. H. - Claimant (replaced); Oreamuno Blanco, R. - Respondent; Reisman, W. M. - Respondent (replaced)</t>
        </is>
      </c>
      <c r="R343" s="33" t="inlineStr">
        <is>
          <t>ICSID annulment proceedings</t>
        </is>
      </c>
      <c r="S343" s="33" t="inlineStr">
        <is>
          <t>Award/decision upheld ICSID annulment proceedings</t>
        </is>
      </c>
      <c r="T343" s="33" t="inlineStr">
        <is>
          <t>Inglés</t>
        </is>
      </c>
      <c r="U343" s="33" t="inlineStr">
        <is>
          <t>http://www.italaw.com/cases/717</t>
        </is>
      </c>
      <c r="V343" s="33" t="inlineStr">
        <is>
          <t>Sí</t>
        </is>
      </c>
    </row>
    <row r="344">
      <c r="A344" s="32" t="n">
        <v>343</v>
      </c>
      <c r="B344" s="32" t="inlineStr">
        <is>
          <t>Noble Ventures v. Romania</t>
        </is>
      </c>
      <c r="C344" s="32" t="inlineStr">
        <is>
          <t>Noble Ventures, Inc. v. Romania (ICSID Case No. ARB/01/11)</t>
        </is>
      </c>
      <c r="D344" s="32" t="inlineStr">
        <is>
          <t>Romania</t>
        </is>
      </c>
      <c r="E344" s="32" t="inlineStr">
        <is>
          <t>Europa Occidental</t>
        </is>
      </c>
      <c r="F344" s="32" t="inlineStr">
        <is>
          <t>United States of America</t>
        </is>
      </c>
      <c r="G344" s="32" t="n">
        <v>2001</v>
      </c>
      <c r="H344" s="32" t="inlineStr">
        <is>
          <t>No - ganó el Estado</t>
        </is>
      </c>
      <c r="I344" s="32" t="inlineStr">
        <is>
          <t>No</t>
        </is>
      </c>
      <c r="J344" s="32" t="inlineStr">
        <is>
          <t>TJE - Trato Justo y Equitativo | Expropiación | Protección y Seguridad Plenas</t>
        </is>
      </c>
      <c r="K344" s="32" t="inlineStr">
        <is>
          <t>143.50 USD</t>
        </is>
      </c>
      <c r="L344" s="32" t="inlineStr"/>
      <c r="M344" s="32" t="inlineStr">
        <is>
          <t>Tertiary - K - Financial and insurance activities</t>
        </is>
      </c>
      <c r="N344" s="32" t="inlineStr">
        <is>
          <t>Decreto/Reglamento | Medida legislativa | Incumplimiento contractual | Expropiación de activos</t>
        </is>
      </c>
      <c r="O344" s="32" t="inlineStr">
        <is>
          <t>Romania - United States of America BIT (1992)</t>
        </is>
      </c>
      <c r="P344" s="32" t="inlineStr">
        <is>
          <t>Joint venture</t>
        </is>
      </c>
      <c r="Q344" s="32" t="inlineStr">
        <is>
          <t>Böckstiegel, K.-H. - President; Lever, J. - Claimant; Dupuy, P.-M. - Respondent; Porcasi, V. - Respondent (replaced)</t>
        </is>
      </c>
      <c r="R344" s="32" t="inlineStr"/>
      <c r="S344" s="32" t="inlineStr"/>
      <c r="T344" s="32" t="inlineStr">
        <is>
          <t>Inglés</t>
        </is>
      </c>
      <c r="U344" s="32" t="inlineStr">
        <is>
          <t>http://www.italaw.com/cases/747</t>
        </is>
      </c>
      <c r="V344" s="32" t="inlineStr">
        <is>
          <t>Sí</t>
        </is>
      </c>
    </row>
    <row r="345">
      <c r="A345" s="32" t="n">
        <v>344</v>
      </c>
      <c r="B345" s="32" t="inlineStr">
        <is>
          <t>ADF v. USA</t>
        </is>
      </c>
      <c r="C345" s="32" t="inlineStr">
        <is>
          <t>ADF Group Inc. v. United States of America (ICSID Case No. ARB(AF)/00/1)</t>
        </is>
      </c>
      <c r="D345" s="32" t="inlineStr">
        <is>
          <t>United States of America</t>
        </is>
      </c>
      <c r="E345" s="32" t="inlineStr">
        <is>
          <t>América del Norte</t>
        </is>
      </c>
      <c r="F345" s="32" t="inlineStr">
        <is>
          <t>Canada</t>
        </is>
      </c>
      <c r="G345" s="32" t="n">
        <v>2000</v>
      </c>
      <c r="H345" s="32" t="inlineStr">
        <is>
          <t>No - ganó el Estado</t>
        </is>
      </c>
      <c r="I345" s="32" t="inlineStr">
        <is>
          <t>No</t>
        </is>
      </c>
      <c r="J345" s="32" t="inlineStr">
        <is>
          <t>NMF - Nación Más Favorecida | Trato Nacional</t>
        </is>
      </c>
      <c r="K345" s="32" t="inlineStr">
        <is>
          <t>90.00 USD</t>
        </is>
      </c>
      <c r="L345" s="32" t="inlineStr"/>
      <c r="M345" s="32" t="inlineStr">
        <is>
          <t>Tertiary - F - Construction</t>
        </is>
      </c>
      <c r="N345" s="32" t="inlineStr">
        <is>
          <t>Decreto/Reglamento | Medida legislativa | Incumplimiento contractual | Revocación de licencia</t>
        </is>
      </c>
      <c r="O345" s="32" t="inlineStr">
        <is>
          <t>NAFTA (1992)</t>
        </is>
      </c>
      <c r="P345" s="32" t="inlineStr"/>
      <c r="Q345" s="32" t="inlineStr">
        <is>
          <t>Feliciano, F. P. - President; de Mestral, A. - Claimant; Lamm, C. B. - Respondent</t>
        </is>
      </c>
      <c r="R345" s="32" t="inlineStr"/>
      <c r="S345" s="32" t="inlineStr"/>
      <c r="T345" s="32" t="inlineStr">
        <is>
          <t>Inglés</t>
        </is>
      </c>
      <c r="U345" s="32" t="inlineStr">
        <is>
          <t>http://www.italaw.com/cases/43</t>
        </is>
      </c>
      <c r="V345" s="32" t="inlineStr">
        <is>
          <t>Sí</t>
        </is>
      </c>
    </row>
    <row r="346">
      <c r="A346" s="32" t="n">
        <v>345</v>
      </c>
      <c r="B346" s="32" t="inlineStr">
        <is>
          <t>Generation Ukraine v. Ukraine</t>
        </is>
      </c>
      <c r="C346" s="32" t="inlineStr">
        <is>
          <t>Generation Ukraine v. Ukraine (ICSID Case No. ARB/00/9)</t>
        </is>
      </c>
      <c r="D346" s="32" t="inlineStr">
        <is>
          <t>Ukraine</t>
        </is>
      </c>
      <c r="E346" s="32" t="inlineStr">
        <is>
          <t>Este Europa/Asia Central</t>
        </is>
      </c>
      <c r="F346" s="32" t="inlineStr">
        <is>
          <t>United States of America</t>
        </is>
      </c>
      <c r="G346" s="32" t="n">
        <v>2000</v>
      </c>
      <c r="H346" s="32" t="inlineStr">
        <is>
          <t>No - ganó el Estado</t>
        </is>
      </c>
      <c r="I346" s="32" t="inlineStr">
        <is>
          <t>No</t>
        </is>
      </c>
      <c r="J346" s="32" t="inlineStr">
        <is>
          <t>Expropiación</t>
        </is>
      </c>
      <c r="K346" s="32" t="inlineStr">
        <is>
          <t>9446.00 USD</t>
        </is>
      </c>
      <c r="L346" s="32" t="inlineStr"/>
      <c r="M346" s="32" t="inlineStr">
        <is>
          <t>Tertiary - F - Construction</t>
        </is>
      </c>
      <c r="N346" s="32" t="inlineStr">
        <is>
          <t>Decreto/Reglamento | Medida legislativa | Incumplimiento contractual | Expropiación de activos | Revocación de licencia</t>
        </is>
      </c>
      <c r="O346" s="32" t="inlineStr">
        <is>
          <t>Ukraine - United States of America BIT (1994)</t>
        </is>
      </c>
      <c r="P346" s="32" t="inlineStr">
        <is>
          <t>Inversión indirecta (holding)</t>
        </is>
      </c>
      <c r="Q346" s="32" t="inlineStr">
        <is>
          <t>Paulsson, J. - President; Shihata, I. - President (replaced); Salpius, E. - Claimant; Voss, J. - Respondent</t>
        </is>
      </c>
      <c r="R346" s="32" t="inlineStr"/>
      <c r="S346" s="32" t="inlineStr"/>
      <c r="T346" s="32" t="inlineStr">
        <is>
          <t>Inglés</t>
        </is>
      </c>
      <c r="U346" s="32" t="inlineStr">
        <is>
          <t>http://www.italaw.com/cases/482</t>
        </is>
      </c>
      <c r="V346" s="32" t="inlineStr">
        <is>
          <t>Sí</t>
        </is>
      </c>
    </row>
    <row r="347">
      <c r="A347" s="32" t="n">
        <v>346</v>
      </c>
      <c r="B347" s="32" t="inlineStr">
        <is>
          <t>Mihaly v. Sri Lanka</t>
        </is>
      </c>
      <c r="C347" s="32" t="inlineStr">
        <is>
          <t>Mihaly International Corporation v. Democratic Socialist Republic of Sri Lanka (ICSID Case No. ARB/00/2)</t>
        </is>
      </c>
      <c r="D347" s="32" t="inlineStr">
        <is>
          <t>Sri Lanka</t>
        </is>
      </c>
      <c r="E347" s="32" t="inlineStr">
        <is>
          <t>Asia Sur-Este/Pacífico</t>
        </is>
      </c>
      <c r="F347" s="32" t="inlineStr">
        <is>
          <t>United States of America</t>
        </is>
      </c>
      <c r="G347" s="32" t="n">
        <v>2000</v>
      </c>
      <c r="H347" s="32" t="inlineStr">
        <is>
          <t>No - ganó el Estado</t>
        </is>
      </c>
      <c r="I347" s="32" t="inlineStr">
        <is>
          <t>No</t>
        </is>
      </c>
      <c r="J347" s="32" t="inlineStr">
        <is>
          <t>TJE - Trato Justo y Equitativo | Protección y Seguridad Plenas</t>
        </is>
      </c>
      <c r="K347" s="32" t="inlineStr"/>
      <c r="L347" s="32" t="inlineStr"/>
      <c r="M347" s="32" t="inlineStr">
        <is>
          <t>Tertiary - D - Electricity, gas, steam and air conditioning supply</t>
        </is>
      </c>
      <c r="N347" s="32" t="inlineStr"/>
      <c r="O347" s="32" t="inlineStr">
        <is>
          <t>Sri Lanka - United States of America BIT (1991)</t>
        </is>
      </c>
      <c r="P347" s="32" t="inlineStr"/>
      <c r="Q347" s="32" t="inlineStr">
        <is>
          <t>Sucharitkul, S. - President; Suratgar, D. - Claimant; Rogers, A. - Respondent</t>
        </is>
      </c>
      <c r="R347" s="32" t="inlineStr"/>
      <c r="S347" s="32" t="inlineStr"/>
      <c r="T347" s="32" t="inlineStr">
        <is>
          <t>Inglés</t>
        </is>
      </c>
      <c r="U347" s="32" t="inlineStr">
        <is>
          <t>http://www.italaw.com/cases/702</t>
        </is>
      </c>
      <c r="V347" s="32" t="inlineStr">
        <is>
          <t>Sí</t>
        </is>
      </c>
    </row>
    <row r="348">
      <c r="A348" s="32" t="n">
        <v>347</v>
      </c>
      <c r="B348" s="32" t="inlineStr">
        <is>
          <t>RFCC v. Morocco</t>
        </is>
      </c>
      <c r="C348" s="32" t="inlineStr">
        <is>
          <t>Consortium R.F.C.C. v. Kingdom of Morocco (ICSID Case No. ARB/00/6)</t>
        </is>
      </c>
      <c r="D348" s="32" t="inlineStr">
        <is>
          <t>Morocco</t>
        </is>
      </c>
      <c r="E348" s="32" t="inlineStr">
        <is>
          <t>Medio Oriente/Norte África</t>
        </is>
      </c>
      <c r="F348" s="32" t="inlineStr">
        <is>
          <t>Italy</t>
        </is>
      </c>
      <c r="G348" s="32" t="n">
        <v>2000</v>
      </c>
      <c r="H348" s="32" t="inlineStr">
        <is>
          <t>No - ganó el Estado</t>
        </is>
      </c>
      <c r="I348" s="32" t="inlineStr">
        <is>
          <t>No</t>
        </is>
      </c>
      <c r="J348" s="32" t="inlineStr">
        <is>
          <t>TJE - Trato Justo y Equitativo | Expropiación</t>
        </is>
      </c>
      <c r="K348" s="32" t="inlineStr">
        <is>
          <t>337.60 MAD (36.70 USD)</t>
        </is>
      </c>
      <c r="L348" s="32" t="inlineStr"/>
      <c r="M348" s="32" t="inlineStr">
        <is>
          <t>Tertiary - F - Construction</t>
        </is>
      </c>
      <c r="N348" s="32" t="inlineStr">
        <is>
          <t>Nacionalización</t>
        </is>
      </c>
      <c r="O348" s="32" t="inlineStr">
        <is>
          <t>Italy - Morocco BIT (1990)</t>
        </is>
      </c>
      <c r="P348" s="32" t="inlineStr"/>
      <c r="Q348" s="32" t="inlineStr">
        <is>
          <t>Briner, R. - President; Cremades, B. M. - Claimant; Fadlallah, I. - Respondent</t>
        </is>
      </c>
      <c r="R348" s="32" t="inlineStr">
        <is>
          <t>ICSID annulment proceedings</t>
        </is>
      </c>
      <c r="S348" s="32" t="inlineStr">
        <is>
          <t>Award/decision upheld ICSID annulment proceedings</t>
        </is>
      </c>
      <c r="T348" s="32" t="inlineStr">
        <is>
          <t>Indeterminado</t>
        </is>
      </c>
      <c r="U348" s="32" t="inlineStr">
        <is>
          <t>http://www.italaw.com/cases/325</t>
        </is>
      </c>
      <c r="V348" s="32" t="inlineStr">
        <is>
          <t>Sí</t>
        </is>
      </c>
    </row>
    <row r="349">
      <c r="A349" s="33" t="n">
        <v>348</v>
      </c>
      <c r="B349" s="33" t="inlineStr">
        <is>
          <t>Tecmed v. Mexico</t>
        </is>
      </c>
      <c r="C349" s="33" t="inlineStr">
        <is>
          <t>Técnicas Medioambientales Tecmed v. United Mexican States (ICSID Case No. ARB(AF)/00/2)</t>
        </is>
      </c>
      <c r="D349" s="33" t="inlineStr">
        <is>
          <t>Mexico</t>
        </is>
      </c>
      <c r="E349" s="33" t="inlineStr">
        <is>
          <t>América del Norte</t>
        </is>
      </c>
      <c r="F349" s="33" t="inlineStr">
        <is>
          <t>Spain</t>
        </is>
      </c>
      <c r="G349" s="33" t="n">
        <v>2000</v>
      </c>
      <c r="H349" s="33" t="inlineStr">
        <is>
          <t>Sí con daños</t>
        </is>
      </c>
      <c r="I349" s="33" t="inlineStr">
        <is>
          <t>Sí</t>
        </is>
      </c>
      <c r="J349" s="33" t="inlineStr">
        <is>
          <t>TJE - Trato Justo y Equitativo | Expropiación | Protección y Seguridad Plenas | NMF - Nación Más Favorecida | Trato Nacional</t>
        </is>
      </c>
      <c r="K349" s="33" t="inlineStr">
        <is>
          <t>52.00 USD</t>
        </is>
      </c>
      <c r="L349" s="33" t="inlineStr">
        <is>
          <t>5.50 USD</t>
        </is>
      </c>
      <c r="M349" s="33" t="inlineStr">
        <is>
          <t>Tertiary - E - Water supply; sewerage, waste management and remediation activities</t>
        </is>
      </c>
      <c r="N349" s="33" t="inlineStr">
        <is>
          <t>Medida legislativa | Incumplimiento contractual | Expropiación de activos | Revocación de licencia</t>
        </is>
      </c>
      <c r="O349" s="33" t="inlineStr">
        <is>
          <t>Mexico - Spain BIT (1995)</t>
        </is>
      </c>
      <c r="P349" s="33" t="inlineStr"/>
      <c r="Q349" s="33" t="inlineStr">
        <is>
          <t>Grigera Naón, H. A. - President; Fernández Rozas, J. C. - Claimant; Bernal Verea, C. - Respondent; Aguilar Álvarez, G. - Respondent (replaced)</t>
        </is>
      </c>
      <c r="R349" s="33" t="inlineStr"/>
      <c r="S349" s="33" t="inlineStr"/>
      <c r="T349" s="33" t="inlineStr">
        <is>
          <t>Inglés</t>
        </is>
      </c>
      <c r="U349" s="33" t="inlineStr">
        <is>
          <t>http://www.italaw.com/cases/1087</t>
        </is>
      </c>
      <c r="V349" s="33" t="inlineStr">
        <is>
          <t>Sí</t>
        </is>
      </c>
    </row>
    <row r="350">
      <c r="A350" s="32" t="n">
        <v>349</v>
      </c>
      <c r="B350" s="32" t="inlineStr">
        <is>
          <t>Waste Management v. Mexico (II)</t>
        </is>
      </c>
      <c r="C350" s="32" t="inlineStr">
        <is>
          <t>Waste Management v. United Mexican States (II) (ICSID Case No. ARB(AF)/00/3)</t>
        </is>
      </c>
      <c r="D350" s="32" t="inlineStr">
        <is>
          <t>Mexico</t>
        </is>
      </c>
      <c r="E350" s="32" t="inlineStr">
        <is>
          <t>América del Norte</t>
        </is>
      </c>
      <c r="F350" s="32" t="inlineStr">
        <is>
          <t>United States of America</t>
        </is>
      </c>
      <c r="G350" s="32" t="n">
        <v>2000</v>
      </c>
      <c r="H350" s="32" t="inlineStr">
        <is>
          <t>No - ganó el Estado</t>
        </is>
      </c>
      <c r="I350" s="32" t="inlineStr">
        <is>
          <t>No</t>
        </is>
      </c>
      <c r="J350" s="32" t="inlineStr">
        <is>
          <t>TJE - Trato Justo y Equitativo | Expropiación</t>
        </is>
      </c>
      <c r="K350" s="32" t="inlineStr">
        <is>
          <t>36.60 USD</t>
        </is>
      </c>
      <c r="L350" s="32" t="inlineStr"/>
      <c r="M350" s="32" t="inlineStr">
        <is>
          <t>Tertiary - E - Water supply; sewerage, waste management and remediation activities</t>
        </is>
      </c>
      <c r="N350" s="32" t="inlineStr">
        <is>
          <t>Decreto/Reglamento | Medida legislativa | Incumplimiento contractual | Revocación de licencia</t>
        </is>
      </c>
      <c r="O350" s="32" t="inlineStr">
        <is>
          <t>NAFTA (1992)</t>
        </is>
      </c>
      <c r="P350" s="32" t="inlineStr"/>
      <c r="Q350" s="32" t="inlineStr">
        <is>
          <t>Crawford, J. R. - President; Civiletti, B. R. - Claimant; Magallón Gómez, E. - Respondent; Aguilar Álvarez, G. - Respondent (replaced)</t>
        </is>
      </c>
      <c r="R350" s="32" t="inlineStr"/>
      <c r="S350" s="32" t="inlineStr"/>
      <c r="T350" s="32" t="inlineStr">
        <is>
          <t>Español</t>
        </is>
      </c>
      <c r="U350" s="32" t="inlineStr">
        <is>
          <t>http://www.italaw.com/cases/1158</t>
        </is>
      </c>
      <c r="V350" s="32" t="inlineStr">
        <is>
          <t>Sí</t>
        </is>
      </c>
    </row>
    <row r="351">
      <c r="A351" s="32" t="n">
        <v>350</v>
      </c>
      <c r="B351" s="32" t="inlineStr">
        <is>
          <t>Yaung Chi v. Myanmar</t>
        </is>
      </c>
      <c r="C351" s="32" t="inlineStr">
        <is>
          <t>Yaung Chi OO Trading Pte Ltd. v. Government of the Union of Myanmar (ASEAN I.D. Case No. ARB/01/1)</t>
        </is>
      </c>
      <c r="D351" s="32" t="inlineStr">
        <is>
          <t>Myanmar</t>
        </is>
      </c>
      <c r="E351" s="32" t="inlineStr">
        <is>
          <t>Asia Sur-Este/Pacífico</t>
        </is>
      </c>
      <c r="F351" s="32" t="inlineStr">
        <is>
          <t>Singapore</t>
        </is>
      </c>
      <c r="G351" s="32" t="n">
        <v>2000</v>
      </c>
      <c r="H351" s="32" t="inlineStr">
        <is>
          <t>No - ganó el Estado</t>
        </is>
      </c>
      <c r="I351" s="32" t="inlineStr">
        <is>
          <t>No</t>
        </is>
      </c>
      <c r="J351" s="32" t="inlineStr">
        <is>
          <t>Expropiación</t>
        </is>
      </c>
      <c r="K351" s="32" t="inlineStr">
        <is>
          <t>6.30 USD</t>
        </is>
      </c>
      <c r="L351" s="32" t="inlineStr"/>
      <c r="M351" s="32" t="inlineStr">
        <is>
          <t>Secondary - C - Manufacturing</t>
        </is>
      </c>
      <c r="N351" s="32" t="inlineStr">
        <is>
          <t>Decreto/Reglamento | Medida legislativa | Incumplimiento contractual | Expropiación de activos | Revocación de licencia</t>
        </is>
      </c>
      <c r="O351" s="32" t="inlineStr">
        <is>
          <t>ASEAN Investment Agreement (1987)</t>
        </is>
      </c>
      <c r="P351" s="32" t="inlineStr">
        <is>
          <t>Joint venture</t>
        </is>
      </c>
      <c r="Q351" s="32" t="inlineStr">
        <is>
          <t>Sucharitkul, S. - President; Crawford, J. R. - Unknown; Delon, F. - Unknown</t>
        </is>
      </c>
      <c r="R351" s="32" t="inlineStr"/>
      <c r="S351" s="32" t="inlineStr"/>
      <c r="T351" s="32" t="inlineStr">
        <is>
          <t>Inglés</t>
        </is>
      </c>
      <c r="U351" s="32" t="inlineStr">
        <is>
          <t>http://www.italaw.com/cases/1173</t>
        </is>
      </c>
      <c r="V351" s="32"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0" customWidth="1" min="3" max="3"/>
    <col width="25" customWidth="1" min="4" max="4"/>
    <col width="14" customWidth="1" min="5" max="5"/>
    <col width="22" customWidth="1" min="6" max="6"/>
    <col width="16" customWidth="1" min="7" max="7"/>
    <col width="22" customWidth="1" min="8" max="8"/>
    <col width="25" customWidth="1" min="9" max="9"/>
    <col width="20" customWidth="1" min="10" max="10"/>
    <col width="20" customWidth="1" min="11" max="11"/>
    <col width="30" customWidth="1" min="12" max="12"/>
  </cols>
  <sheetData>
    <row r="1" ht="45" customHeight="1">
      <c r="A1" s="8" t="inlineStr">
        <is>
          <t>N° Caso CIADI</t>
        </is>
      </c>
      <c r="B1" s="8" t="inlineStr">
        <is>
          <t>Nombre del Caso</t>
        </is>
      </c>
      <c r="C1" s="8" t="inlineStr">
        <is>
          <t>Estado Demandado</t>
        </is>
      </c>
      <c r="D1" s="8" t="inlineStr">
        <is>
          <t>Región CIADI</t>
        </is>
      </c>
      <c r="E1" s="8" t="inlineStr">
        <is>
          <t>Año de Registro</t>
        </is>
      </c>
      <c r="F1" s="8" t="inlineStr">
        <is>
          <t>Tipo de Resolución</t>
        </is>
      </c>
      <c r="G1" s="8" t="inlineStr">
        <is>
          <t>Año de Resolución</t>
        </is>
      </c>
      <c r="H1" s="8" t="inlineStr">
        <is>
          <t>Sector Económico</t>
        </is>
      </c>
      <c r="I1" s="8" t="inlineStr">
        <is>
          <t>Tratado Invocado</t>
        </is>
      </c>
      <c r="J1" s="8" t="inlineStr">
        <is>
          <t>Nationalidad del Inversor</t>
        </is>
      </c>
      <c r="K1" s="8" t="inlineStr">
        <is>
          <t>¿Hubo acuerdo económico?</t>
        </is>
      </c>
      <c r="L1" s="8" t="inlineStr">
        <is>
          <t>Notas</t>
        </is>
      </c>
    </row>
    <row r="2">
      <c r="A2" s="9" t="inlineStr">
        <is>
          <t>CIADI/ARB/11/3</t>
        </is>
      </c>
      <c r="B2" s="9" t="inlineStr">
        <is>
          <t>Mobil v. Venezuela</t>
        </is>
      </c>
      <c r="C2" s="9" t="inlineStr">
        <is>
          <t>Venezuela</t>
        </is>
      </c>
      <c r="D2" s="9" t="inlineStr">
        <is>
          <t>América del Sur</t>
        </is>
      </c>
      <c r="E2" s="9" t="n">
        <v>2011</v>
      </c>
      <c r="F2" s="9" t="inlineStr">
        <is>
          <t>Acuerdo/Settlement</t>
        </is>
      </c>
      <c r="G2" s="9" t="n">
        <v>2015</v>
      </c>
      <c r="H2" s="9" t="inlineStr">
        <is>
          <t>Energía y recursos naturales</t>
        </is>
      </c>
      <c r="I2" s="9" t="inlineStr">
        <is>
          <t>TBI EE.UU.-Venezuela</t>
        </is>
      </c>
      <c r="J2" s="9" t="inlineStr">
        <is>
          <t>Estadounidense</t>
        </is>
      </c>
      <c r="K2" s="9" t="inlineStr">
        <is>
          <t>Sí</t>
        </is>
      </c>
      <c r="L2" s="9" t="inlineStr">
        <is>
          <t>Acuerdo confidencial</t>
        </is>
      </c>
    </row>
    <row r="3">
      <c r="A3" s="5" t="inlineStr">
        <is>
          <t>CIADI/ARB/16/22</t>
        </is>
      </c>
      <c r="B3" s="5" t="inlineStr">
        <is>
          <t>Bridgestone v. Panamá</t>
        </is>
      </c>
      <c r="C3" s="5" t="inlineStr">
        <is>
          <t>Panamá</t>
        </is>
      </c>
      <c r="D3" s="5" t="inlineStr">
        <is>
          <t>América Central/Caribe</t>
        </is>
      </c>
      <c r="E3" s="5" t="n">
        <v>2016</v>
      </c>
      <c r="F3" s="5" t="inlineStr">
        <is>
          <t>Discontinuado</t>
        </is>
      </c>
      <c r="G3" s="5" t="n">
        <v>2019</v>
      </c>
      <c r="H3" s="5" t="inlineStr">
        <is>
          <t>Manufactura</t>
        </is>
      </c>
      <c r="I3" s="5" t="inlineStr">
        <is>
          <t>TBI EE.UU.-Panamá</t>
        </is>
      </c>
      <c r="J3" s="5" t="inlineStr">
        <is>
          <t>Estadounidense</t>
        </is>
      </c>
      <c r="K3" s="5" t="inlineStr">
        <is>
          <t>No</t>
        </is>
      </c>
      <c r="L3" s="5" t="inlineStr">
        <is>
          <t>Desistimiento a pedido del inversor</t>
        </is>
      </c>
    </row>
    <row r="4">
      <c r="A4" s="9" t="inlineStr">
        <is>
          <t>CIADI/ARB/14/9</t>
        </is>
      </c>
      <c r="B4" s="9" t="inlineStr">
        <is>
          <t>Al-Warraq v. Indonesia</t>
        </is>
      </c>
      <c r="C4" s="9" t="inlineStr">
        <is>
          <t>Indonesia</t>
        </is>
      </c>
      <c r="D4" s="9" t="inlineStr">
        <is>
          <t>Asia Sur-Este/Pacífico</t>
        </is>
      </c>
      <c r="E4" s="9" t="n">
        <v>2014</v>
      </c>
      <c r="F4" s="9" t="inlineStr">
        <is>
          <t>Acuerdo/Settlement</t>
        </is>
      </c>
      <c r="G4" s="9" t="n">
        <v>2016</v>
      </c>
      <c r="H4" s="9" t="inlineStr">
        <is>
          <t>Finanzas</t>
        </is>
      </c>
      <c r="I4" s="9" t="inlineStr">
        <is>
          <t>OCI</t>
        </is>
      </c>
      <c r="J4" s="9" t="inlineStr">
        <is>
          <t>Árabe Saudita</t>
        </is>
      </c>
      <c r="K4" s="9" t="inlineStr">
        <is>
          <t>Desconocido</t>
        </is>
      </c>
      <c r="L4" s="9" t="inlineStr"/>
    </row>
  </sheetData>
  <autoFilter ref="A1:L1"/>
  <dataValidations count="4">
    <dataValidation sqref="D2:D1000" showDropDown="0" showInputMessage="0" showErrorMessage="0" allowBlank="1" type="list">
      <formula1>"América del Sur,América Central/Caribe,América del Norte,Europa Occidental,Este Europa/Asia Central,Asia Sur-Este/Pacífico,África Subsahariana,Medio Oriente/Norte África"</formula1>
    </dataValidation>
    <dataValidation sqref="F2:F1000" showDropDown="0" showInputMessage="0" showErrorMessage="0" allowBlank="1" type="list">
      <formula1>"Acuerdo/Settlement,Discontinuado,Pendiente"</formula1>
    </dataValidation>
    <dataValidation sqref="H2:H1000" showDropDown="0" showInputMessage="0" showErrorMessage="0" allowBlank="1" type="list">
      <formula1>"Energía y recursos naturales,Infraestructura y transporte,Finanzas,Telecomunicaciones,Construcción,Manufactura,Agricultura,Otro"</formula1>
    </dataValidation>
    <dataValidation sqref="K2:K1000" showDropDown="0" showInputMessage="0" showErrorMessage="0" allowBlank="1" type="list">
      <formula1>"Sí,No,Desconocido"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22" customWidth="1" min="3" max="3"/>
    <col width="16" customWidth="1" min="4" max="4"/>
    <col width="22" customWidth="1" min="5" max="5"/>
    <col width="18" customWidth="1" min="6" max="6"/>
    <col width="18" customWidth="1" min="7" max="7"/>
    <col width="20" customWidth="1" min="8" max="8"/>
    <col width="16" customWidth="1" min="9" max="9"/>
    <col width="14" customWidth="1" min="10" max="10"/>
    <col width="30" customWidth="1" min="11" max="11"/>
  </cols>
  <sheetData>
    <row r="1" ht="40" customHeight="1">
      <c r="A1" s="10" t="inlineStr">
        <is>
          <t>País</t>
        </is>
      </c>
      <c r="B1" s="10" t="inlineStr">
        <is>
          <t>Región CIADI</t>
        </is>
      </c>
      <c r="C1" s="10" t="inlineStr">
        <is>
          <t>Clasificación Capital</t>
        </is>
      </c>
      <c r="D1" s="10" t="inlineStr">
        <is>
          <t>Total Casos CIADI</t>
        </is>
      </c>
      <c r="E1" s="10" t="inlineStr">
        <is>
          <t>Laudos a favor del Estado</t>
        </is>
      </c>
      <c r="F1" s="10" t="inlineStr">
        <is>
          <t>Condenas CON daños</t>
        </is>
      </c>
      <c r="G1" s="10" t="inlineStr">
        <is>
          <t>Condenas SIN daños</t>
        </is>
      </c>
      <c r="H1" s="10" t="inlineStr">
        <is>
          <t>Acuerdos/Settlements</t>
        </is>
      </c>
      <c r="I1" s="10" t="inlineStr">
        <is>
          <t>Discontinuados</t>
        </is>
      </c>
      <c r="J1" s="10" t="inlineStr">
        <is>
          <t>% Condenado</t>
        </is>
      </c>
      <c r="K1" s="10" t="inlineStr">
        <is>
          <t>Notas</t>
        </is>
      </c>
    </row>
    <row r="2">
      <c r="A2" s="11" t="inlineStr">
        <is>
          <t>Argentina</t>
        </is>
      </c>
      <c r="B2" s="11" t="inlineStr">
        <is>
          <t>América del Sur</t>
        </is>
      </c>
      <c r="C2" s="11" t="inlineStr">
        <is>
          <t>Importador neto</t>
        </is>
      </c>
      <c r="D2" s="11" t="n">
        <v>62</v>
      </c>
      <c r="E2" s="11" t="n">
        <v>11</v>
      </c>
      <c r="F2" s="11" t="n">
        <v>24</v>
      </c>
      <c r="G2" s="11" t="n">
        <v>3</v>
      </c>
      <c r="H2" s="11" t="n">
        <v>14</v>
      </c>
      <c r="I2" s="11" t="n">
        <v>10</v>
      </c>
      <c r="J2" s="12">
        <f>F2/D2</f>
        <v/>
      </c>
      <c r="K2" s="11" t="inlineStr">
        <is>
          <t>Mayor demandado de Latinoamérica</t>
        </is>
      </c>
    </row>
    <row r="3">
      <c r="A3" s="5" t="inlineStr">
        <is>
          <t>Venezuela</t>
        </is>
      </c>
      <c r="B3" s="5" t="inlineStr">
        <is>
          <t>América del Sur</t>
        </is>
      </c>
      <c r="C3" s="5" t="inlineStr">
        <is>
          <t>Importador neto</t>
        </is>
      </c>
      <c r="D3" s="5" t="n">
        <v>53</v>
      </c>
      <c r="E3" s="5" t="n">
        <v>8</v>
      </c>
      <c r="F3" s="5" t="n">
        <v>22</v>
      </c>
      <c r="G3" s="5" t="n">
        <v>2</v>
      </c>
      <c r="H3" s="5" t="n">
        <v>12</v>
      </c>
      <c r="I3" s="5" t="n">
        <v>9</v>
      </c>
      <c r="J3" s="7">
        <f>F3/D3</f>
        <v/>
      </c>
      <c r="K3" s="5" t="inlineStr"/>
    </row>
    <row r="4">
      <c r="A4" s="11" t="inlineStr">
        <is>
          <t>Ecuador</t>
        </is>
      </c>
      <c r="B4" s="11" t="inlineStr">
        <is>
          <t>América del Sur</t>
        </is>
      </c>
      <c r="C4" s="11" t="inlineStr">
        <is>
          <t>Importador neto</t>
        </is>
      </c>
      <c r="D4" s="11" t="n">
        <v>28</v>
      </c>
      <c r="E4" s="11" t="n">
        <v>6</v>
      </c>
      <c r="F4" s="11" t="n">
        <v>10</v>
      </c>
      <c r="G4" s="11" t="n">
        <v>1</v>
      </c>
      <c r="H4" s="11" t="n">
        <v>7</v>
      </c>
      <c r="I4" s="11" t="n">
        <v>4</v>
      </c>
      <c r="J4" s="12">
        <f>F4/D4</f>
        <v/>
      </c>
      <c r="K4" s="11" t="inlineStr">
        <is>
          <t>Denunció el Convenio CIADI en 2009</t>
        </is>
      </c>
    </row>
    <row r="5">
      <c r="A5" s="5" t="inlineStr">
        <is>
          <t>España</t>
        </is>
      </c>
      <c r="B5" s="5" t="inlineStr">
        <is>
          <t>Europa Occidental</t>
        </is>
      </c>
      <c r="C5" s="5" t="inlineStr">
        <is>
          <t>Exportador neto</t>
        </is>
      </c>
      <c r="D5" s="5" t="n">
        <v>58</v>
      </c>
      <c r="E5" s="5" t="n">
        <v>12</v>
      </c>
      <c r="F5" s="5" t="n">
        <v>20</v>
      </c>
      <c r="G5" s="5" t="n">
        <v>4</v>
      </c>
      <c r="H5" s="5" t="n">
        <v>15</v>
      </c>
      <c r="I5" s="5" t="n">
        <v>7</v>
      </c>
      <c r="J5" s="7">
        <f>F5/D5</f>
        <v/>
      </c>
      <c r="K5" s="5" t="inlineStr">
        <is>
          <t>Mayormente por TCE (energía)</t>
        </is>
      </c>
    </row>
    <row r="6">
      <c r="A6" s="11" t="inlineStr">
        <is>
          <t>Kazajistán</t>
        </is>
      </c>
      <c r="B6" s="11" t="inlineStr">
        <is>
          <t>Este Europa/Asia Central</t>
        </is>
      </c>
      <c r="C6" s="11" t="inlineStr">
        <is>
          <t>Importador neto</t>
        </is>
      </c>
      <c r="D6" s="11" t="n">
        <v>24</v>
      </c>
      <c r="E6" s="11" t="n">
        <v>5</v>
      </c>
      <c r="F6" s="11" t="n">
        <v>9</v>
      </c>
      <c r="G6" s="11" t="n">
        <v>1</v>
      </c>
      <c r="H6" s="11" t="n">
        <v>6</v>
      </c>
      <c r="I6" s="11" t="n">
        <v>3</v>
      </c>
      <c r="J6" s="12">
        <f>F6/D6</f>
        <v/>
      </c>
      <c r="K6" s="11" t="inlineStr"/>
    </row>
    <row r="7">
      <c r="A7" s="5" t="inlineStr">
        <is>
          <t>Ucrania</t>
        </is>
      </c>
      <c r="B7" s="5" t="inlineStr">
        <is>
          <t>Este Europa/Asia Central</t>
        </is>
      </c>
      <c r="C7" s="5" t="inlineStr">
        <is>
          <t>Importador neto</t>
        </is>
      </c>
      <c r="D7" s="5" t="n">
        <v>18</v>
      </c>
      <c r="E7" s="5" t="n">
        <v>4</v>
      </c>
      <c r="F7" s="5" t="n">
        <v>7</v>
      </c>
      <c r="G7" s="5" t="n">
        <v>0</v>
      </c>
      <c r="H7" s="5" t="n">
        <v>5</v>
      </c>
      <c r="I7" s="5" t="n">
        <v>2</v>
      </c>
      <c r="J7" s="7">
        <f>F7/D7</f>
        <v/>
      </c>
      <c r="K7" s="5" t="inlineStr"/>
    </row>
    <row r="8">
      <c r="A8" s="11" t="inlineStr">
        <is>
          <t>Egipto</t>
        </is>
      </c>
      <c r="B8" s="11" t="inlineStr">
        <is>
          <t>Medio Oriente/Norte África</t>
        </is>
      </c>
      <c r="C8" s="11" t="inlineStr">
        <is>
          <t>Importador neto</t>
        </is>
      </c>
      <c r="D8" s="11" t="n">
        <v>30</v>
      </c>
      <c r="E8" s="11" t="n">
        <v>9</v>
      </c>
      <c r="F8" s="11" t="n">
        <v>10</v>
      </c>
      <c r="G8" s="11" t="n">
        <v>2</v>
      </c>
      <c r="H8" s="11" t="n">
        <v>6</v>
      </c>
      <c r="I8" s="11" t="n">
        <v>3</v>
      </c>
      <c r="J8" s="12">
        <f>F8/D8</f>
        <v/>
      </c>
      <c r="K8" s="11" t="inlineStr"/>
    </row>
    <row r="9">
      <c r="A9" s="5" t="inlineStr">
        <is>
          <t>India</t>
        </is>
      </c>
      <c r="B9" s="5" t="inlineStr">
        <is>
          <t>Asia Sur-Este/Pacífico</t>
        </is>
      </c>
      <c r="C9" s="5" t="inlineStr">
        <is>
          <t>Importador neto</t>
        </is>
      </c>
      <c r="D9" s="5" t="n">
        <v>22</v>
      </c>
      <c r="E9" s="5" t="n">
        <v>8</v>
      </c>
      <c r="F9" s="5" t="n">
        <v>5</v>
      </c>
      <c r="G9" s="5" t="n">
        <v>1</v>
      </c>
      <c r="H9" s="5" t="n">
        <v>5</v>
      </c>
      <c r="I9" s="5" t="n">
        <v>3</v>
      </c>
      <c r="J9" s="7">
        <f>F9/D9</f>
        <v/>
      </c>
      <c r="K9" s="5" t="inlineStr"/>
    </row>
    <row r="10">
      <c r="A10" s="11" t="inlineStr">
        <is>
          <t>México</t>
        </is>
      </c>
      <c r="B10" s="11" t="inlineStr">
        <is>
          <t>América del Norte</t>
        </is>
      </c>
      <c r="C10" s="11" t="inlineStr">
        <is>
          <t>Importador neto</t>
        </is>
      </c>
      <c r="D10" s="11" t="n">
        <v>35</v>
      </c>
      <c r="E10" s="11" t="n">
        <v>10</v>
      </c>
      <c r="F10" s="11" t="n">
        <v>12</v>
      </c>
      <c r="G10" s="11" t="n">
        <v>2</v>
      </c>
      <c r="H10" s="11" t="n">
        <v>8</v>
      </c>
      <c r="I10" s="11" t="n">
        <v>3</v>
      </c>
      <c r="J10" s="12">
        <f>F10/D10</f>
        <v/>
      </c>
      <c r="K10" s="11" t="inlineStr"/>
    </row>
    <row r="11">
      <c r="A11" s="5" t="inlineStr">
        <is>
          <t>Canadá</t>
        </is>
      </c>
      <c r="B11" s="5" t="inlineStr">
        <is>
          <t>América del Norte</t>
        </is>
      </c>
      <c r="C11" s="5" t="inlineStr">
        <is>
          <t>Exportador neto</t>
        </is>
      </c>
      <c r="D11" s="5" t="n">
        <v>20</v>
      </c>
      <c r="E11" s="5" t="n">
        <v>10</v>
      </c>
      <c r="F11" s="5" t="n">
        <v>4</v>
      </c>
      <c r="G11" s="5" t="n">
        <v>1</v>
      </c>
      <c r="H11" s="5" t="n">
        <v>3</v>
      </c>
      <c r="I11" s="5" t="n">
        <v>2</v>
      </c>
      <c r="J11" s="7">
        <f>F11/D11</f>
        <v/>
      </c>
      <c r="K11" s="5" t="inlineStr">
        <is>
          <t>Principalmente bajo TLCAN/USMCA</t>
        </is>
      </c>
    </row>
  </sheetData>
  <autoFilter ref="A1:K1"/>
  <dataValidations count="1">
    <dataValidation sqref="C2:C500" showDropDown="0" showInputMessage="0" showErrorMessage="0" allowBlank="1" type="list">
      <formula1>"Exportador neto,Importador neto,Mixto"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5"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4" customWidth="1" min="49" max="49"/>
    <col width="14" customWidth="1" min="50" max="50"/>
  </cols>
  <sheetData>
    <row r="1" ht="40" customHeight="1">
      <c r="A1" s="13" t="inlineStr">
        <is>
          <t>País</t>
        </is>
      </c>
      <c r="B1" s="13" t="inlineStr">
        <is>
          <t>Región</t>
        </is>
      </c>
      <c r="C1" s="14" t="inlineStr">
        <is>
          <t>Entrada
2000</t>
        </is>
      </c>
      <c r="D1" s="14" t="inlineStr">
        <is>
          <t>Entrada
2001</t>
        </is>
      </c>
      <c r="E1" s="14" t="inlineStr">
        <is>
          <t>Entrada
2002</t>
        </is>
      </c>
      <c r="F1" s="14" t="inlineStr">
        <is>
          <t>Entrada
2003</t>
        </is>
      </c>
      <c r="G1" s="14" t="inlineStr">
        <is>
          <t>Entrada
2004</t>
        </is>
      </c>
      <c r="H1" s="14" t="inlineStr">
        <is>
          <t>Entrada
2005</t>
        </is>
      </c>
      <c r="I1" s="14" t="inlineStr">
        <is>
          <t>Entrada
2006</t>
        </is>
      </c>
      <c r="J1" s="14" t="inlineStr">
        <is>
          <t>Entrada
2007</t>
        </is>
      </c>
      <c r="K1" s="14" t="inlineStr">
        <is>
          <t>Entrada
2008</t>
        </is>
      </c>
      <c r="L1" s="14" t="inlineStr">
        <is>
          <t>Entrada
2009</t>
        </is>
      </c>
      <c r="M1" s="14" t="inlineStr">
        <is>
          <t>Entrada
2010</t>
        </is>
      </c>
      <c r="N1" s="14" t="inlineStr">
        <is>
          <t>Entrada
2011</t>
        </is>
      </c>
      <c r="O1" s="14" t="inlineStr">
        <is>
          <t>Entrada
2012</t>
        </is>
      </c>
      <c r="P1" s="14" t="inlineStr">
        <is>
          <t>Entrada
2013</t>
        </is>
      </c>
      <c r="Q1" s="14" t="inlineStr">
        <is>
          <t>Entrada
2014</t>
        </is>
      </c>
      <c r="R1" s="14" t="inlineStr">
        <is>
          <t>Entrada
2015</t>
        </is>
      </c>
      <c r="S1" s="14" t="inlineStr">
        <is>
          <t>Entrada
2016</t>
        </is>
      </c>
      <c r="T1" s="14" t="inlineStr">
        <is>
          <t>Entrada
2017</t>
        </is>
      </c>
      <c r="U1" s="14" t="inlineStr">
        <is>
          <t>Entrada
2018</t>
        </is>
      </c>
      <c r="V1" s="14" t="inlineStr">
        <is>
          <t>Entrada
2019</t>
        </is>
      </c>
      <c r="W1" s="14" t="inlineStr">
        <is>
          <t>Entrada
2020</t>
        </is>
      </c>
      <c r="X1" s="14" t="inlineStr">
        <is>
          <t>Entrada
2021</t>
        </is>
      </c>
      <c r="Y1" s="14" t="inlineStr">
        <is>
          <t>Entrada
2022</t>
        </is>
      </c>
      <c r="Z1" s="15" t="inlineStr">
        <is>
          <t>Salida
2000</t>
        </is>
      </c>
      <c r="AA1" s="15" t="inlineStr">
        <is>
          <t>Salida
2001</t>
        </is>
      </c>
      <c r="AB1" s="15" t="inlineStr">
        <is>
          <t>Salida
2002</t>
        </is>
      </c>
      <c r="AC1" s="15" t="inlineStr">
        <is>
          <t>Salida
2003</t>
        </is>
      </c>
      <c r="AD1" s="15" t="inlineStr">
        <is>
          <t>Salida
2004</t>
        </is>
      </c>
      <c r="AE1" s="15" t="inlineStr">
        <is>
          <t>Salida
2005</t>
        </is>
      </c>
      <c r="AF1" s="15" t="inlineStr">
        <is>
          <t>Salida
2006</t>
        </is>
      </c>
      <c r="AG1" s="15" t="inlineStr">
        <is>
          <t>Salida
2007</t>
        </is>
      </c>
      <c r="AH1" s="15" t="inlineStr">
        <is>
          <t>Salida
2008</t>
        </is>
      </c>
      <c r="AI1" s="15" t="inlineStr">
        <is>
          <t>Salida
2009</t>
        </is>
      </c>
      <c r="AJ1" s="15" t="inlineStr">
        <is>
          <t>Salida
2010</t>
        </is>
      </c>
      <c r="AK1" s="15" t="inlineStr">
        <is>
          <t>Salida
2011</t>
        </is>
      </c>
      <c r="AL1" s="15" t="inlineStr">
        <is>
          <t>Salida
2012</t>
        </is>
      </c>
      <c r="AM1" s="15" t="inlineStr">
        <is>
          <t>Salida
2013</t>
        </is>
      </c>
      <c r="AN1" s="15" t="inlineStr">
        <is>
          <t>Salida
2014</t>
        </is>
      </c>
      <c r="AO1" s="15" t="inlineStr">
        <is>
          <t>Salida
2015</t>
        </is>
      </c>
      <c r="AP1" s="15" t="inlineStr">
        <is>
          <t>Salida
2016</t>
        </is>
      </c>
      <c r="AQ1" s="15" t="inlineStr">
        <is>
          <t>Salida
2017</t>
        </is>
      </c>
      <c r="AR1" s="15" t="inlineStr">
        <is>
          <t>Salida
2018</t>
        </is>
      </c>
      <c r="AS1" s="15" t="inlineStr">
        <is>
          <t>Salida
2019</t>
        </is>
      </c>
      <c r="AT1" s="15" t="inlineStr">
        <is>
          <t>Salida
2020</t>
        </is>
      </c>
      <c r="AU1" s="15" t="inlineStr">
        <is>
          <t>Salida
2021</t>
        </is>
      </c>
      <c r="AV1" s="15" t="inlineStr">
        <is>
          <t>Salida
2022</t>
        </is>
      </c>
      <c r="AW1" s="13" t="inlineStr">
        <is>
          <t>Prom.
Entrada</t>
        </is>
      </c>
      <c r="AX1" s="16" t="inlineStr">
        <is>
          <t>Prom.
Salida</t>
        </is>
      </c>
    </row>
    <row r="2">
      <c r="A2" s="17" t="inlineStr">
        <is>
          <t>Argentina</t>
        </is>
      </c>
      <c r="B2" s="17" t="inlineStr">
        <is>
          <t>América del Sur</t>
        </is>
      </c>
      <c r="C2" s="18" t="n">
        <v>10</v>
      </c>
      <c r="D2" s="18" t="n">
        <v>3</v>
      </c>
      <c r="E2" s="18" t="n">
        <v>1</v>
      </c>
      <c r="F2" s="18" t="n">
        <v>1</v>
      </c>
      <c r="G2" s="18" t="n">
        <v>4</v>
      </c>
      <c r="H2" s="18" t="n">
        <v>5</v>
      </c>
      <c r="I2" s="18" t="n">
        <v>5</v>
      </c>
      <c r="J2" s="18" t="n">
        <v>6</v>
      </c>
      <c r="K2" s="18" t="n">
        <v>7</v>
      </c>
      <c r="L2" s="18" t="n">
        <v>5</v>
      </c>
      <c r="M2" s="18" t="n">
        <v>7</v>
      </c>
      <c r="N2" s="18" t="n">
        <v>10</v>
      </c>
      <c r="O2" s="18" t="n">
        <v>12</v>
      </c>
      <c r="P2" s="18" t="n">
        <v>9</v>
      </c>
      <c r="Q2" s="18" t="n">
        <v>6</v>
      </c>
      <c r="R2" s="18" t="n">
        <v>11</v>
      </c>
      <c r="S2" s="18" t="n">
        <v>12</v>
      </c>
      <c r="T2" s="18" t="n">
        <v>10</v>
      </c>
      <c r="U2" s="18" t="n">
        <v>11</v>
      </c>
      <c r="V2" s="18" t="n">
        <v>13</v>
      </c>
      <c r="W2" s="18" t="n">
        <v>5</v>
      </c>
      <c r="X2" s="18" t="n">
        <v>-6</v>
      </c>
      <c r="Y2" s="18" t="n">
        <v>15</v>
      </c>
      <c r="Z2" s="18" t="n">
        <v>1</v>
      </c>
      <c r="AA2" s="18" t="n">
        <v>1</v>
      </c>
      <c r="AB2" s="18" t="n">
        <v>0</v>
      </c>
      <c r="AC2" s="18" t="n">
        <v>0</v>
      </c>
      <c r="AD2" s="18" t="n">
        <v>1</v>
      </c>
      <c r="AE2" s="18" t="n">
        <v>1</v>
      </c>
      <c r="AF2" s="18" t="n">
        <v>2</v>
      </c>
      <c r="AG2" s="18" t="n">
        <v>1</v>
      </c>
      <c r="AH2" s="18" t="n">
        <v>2</v>
      </c>
      <c r="AI2" s="18" t="n">
        <v>1</v>
      </c>
      <c r="AJ2" s="18" t="n">
        <v>1</v>
      </c>
      <c r="AK2" s="18" t="n">
        <v>2</v>
      </c>
      <c r="AL2" s="18" t="n">
        <v>1</v>
      </c>
      <c r="AM2" s="18" t="n">
        <v>1</v>
      </c>
      <c r="AN2" s="18" t="n">
        <v>1</v>
      </c>
      <c r="AO2" s="18" t="n">
        <v>2</v>
      </c>
      <c r="AP2" s="18" t="n">
        <v>2</v>
      </c>
      <c r="AQ2" s="18" t="n">
        <v>1</v>
      </c>
      <c r="AR2" s="18" t="n">
        <v>1</v>
      </c>
      <c r="AS2" s="18" t="n">
        <v>2</v>
      </c>
      <c r="AT2" s="18" t="n">
        <v>1</v>
      </c>
      <c r="AU2" s="18" t="n">
        <v>1</v>
      </c>
      <c r="AV2" s="18" t="n">
        <v>1</v>
      </c>
      <c r="AW2" s="19">
        <f>AVERAGE(C2:Y2)</f>
        <v/>
      </c>
      <c r="AX2" s="19">
        <f>AVERAGE(Z2:AV2)</f>
        <v/>
      </c>
    </row>
    <row r="3">
      <c r="A3" s="5" t="inlineStr">
        <is>
          <t>Venezuela</t>
        </is>
      </c>
      <c r="B3" s="5" t="inlineStr">
        <is>
          <t>América del Sur</t>
        </is>
      </c>
      <c r="C3" s="20" t="n">
        <v>4</v>
      </c>
      <c r="D3" s="20" t="n">
        <v>4</v>
      </c>
      <c r="E3" s="20" t="n">
        <v>1</v>
      </c>
      <c r="F3" s="20" t="n">
        <v>2</v>
      </c>
      <c r="G3" s="20" t="n">
        <v>2</v>
      </c>
      <c r="H3" s="20" t="n">
        <v>3</v>
      </c>
      <c r="I3" s="20" t="n">
        <v>1</v>
      </c>
      <c r="J3" s="20" t="n">
        <v>1</v>
      </c>
      <c r="K3" s="20" t="n">
        <v>2</v>
      </c>
      <c r="L3" s="20" t="n">
        <v>3</v>
      </c>
      <c r="M3" s="20" t="n">
        <v>1</v>
      </c>
      <c r="N3" s="20" t="n">
        <v>5</v>
      </c>
      <c r="O3" s="20" t="n">
        <v>5</v>
      </c>
      <c r="P3" s="20" t="n">
        <v>2</v>
      </c>
      <c r="Q3" s="20" t="n">
        <v>-2</v>
      </c>
      <c r="R3" s="20" t="n">
        <v>0</v>
      </c>
      <c r="S3" s="20" t="n">
        <v>0</v>
      </c>
      <c r="T3" s="20" t="n">
        <v>-1</v>
      </c>
      <c r="U3" s="20" t="n">
        <v>-1</v>
      </c>
      <c r="V3" s="20" t="n">
        <v>2</v>
      </c>
      <c r="W3" s="20" t="n">
        <v>1</v>
      </c>
      <c r="X3" s="20" t="n">
        <v>0</v>
      </c>
      <c r="Y3" s="20" t="n">
        <v>0</v>
      </c>
      <c r="Z3" s="20" t="n">
        <v>1</v>
      </c>
      <c r="AA3" s="20" t="n">
        <v>0</v>
      </c>
      <c r="AB3" s="20" t="n">
        <v>1</v>
      </c>
      <c r="AC3" s="20" t="n">
        <v>1</v>
      </c>
      <c r="AD3" s="20" t="n">
        <v>0</v>
      </c>
      <c r="AE3" s="20" t="n">
        <v>0</v>
      </c>
      <c r="AF3" s="20" t="n">
        <v>0</v>
      </c>
      <c r="AG3" s="20" t="n">
        <v>0</v>
      </c>
      <c r="AH3" s="20" t="n">
        <v>0</v>
      </c>
      <c r="AI3" s="20" t="n">
        <v>0</v>
      </c>
      <c r="AJ3" s="20" t="n">
        <v>0</v>
      </c>
      <c r="AK3" s="20" t="n">
        <v>0</v>
      </c>
      <c r="AL3" s="20" t="n">
        <v>0</v>
      </c>
      <c r="AM3" s="20" t="n">
        <v>0</v>
      </c>
      <c r="AN3" s="20" t="n">
        <v>0</v>
      </c>
      <c r="AO3" s="20" t="n">
        <v>0</v>
      </c>
      <c r="AP3" s="20" t="n">
        <v>0</v>
      </c>
      <c r="AQ3" s="20" t="n">
        <v>0</v>
      </c>
      <c r="AR3" s="20" t="n">
        <v>0</v>
      </c>
      <c r="AS3" s="20" t="n">
        <v>0</v>
      </c>
      <c r="AT3" s="20" t="n">
        <v>0</v>
      </c>
      <c r="AU3" s="20" t="n">
        <v>0</v>
      </c>
      <c r="AV3" s="20" t="n">
        <v>0</v>
      </c>
      <c r="AW3" s="21">
        <f>AVERAGE(C3:Y3)</f>
        <v/>
      </c>
      <c r="AX3" s="21">
        <f>AVERAGE(Z3:AV3)</f>
        <v/>
      </c>
    </row>
    <row r="4">
      <c r="A4" s="17" t="inlineStr">
        <is>
          <t>Ecuador</t>
        </is>
      </c>
      <c r="B4" s="17" t="inlineStr">
        <is>
          <t>América del Sur</t>
        </is>
      </c>
      <c r="C4" s="18" t="n">
        <v>1</v>
      </c>
      <c r="D4" s="18" t="n">
        <v>1</v>
      </c>
      <c r="E4" s="18" t="n">
        <v>1</v>
      </c>
      <c r="F4" s="18" t="n">
        <v>1</v>
      </c>
      <c r="G4" s="18" t="n">
        <v>1</v>
      </c>
      <c r="H4" s="18" t="n">
        <v>1</v>
      </c>
      <c r="I4" s="18" t="n">
        <v>0</v>
      </c>
      <c r="J4" s="18" t="n">
        <v>0</v>
      </c>
      <c r="K4" s="18" t="n">
        <v>1</v>
      </c>
      <c r="L4" s="18" t="n">
        <v>1</v>
      </c>
      <c r="M4" s="18" t="n">
        <v>1</v>
      </c>
      <c r="N4" s="18" t="n">
        <v>1</v>
      </c>
      <c r="O4" s="18" t="n">
        <v>1</v>
      </c>
      <c r="P4" s="18" t="n">
        <v>1</v>
      </c>
      <c r="Q4" s="18" t="n">
        <v>1</v>
      </c>
      <c r="R4" s="18" t="n">
        <v>1</v>
      </c>
      <c r="S4" s="18" t="n">
        <v>1</v>
      </c>
      <c r="T4" s="18" t="n">
        <v>0</v>
      </c>
      <c r="U4" s="18" t="n">
        <v>1</v>
      </c>
      <c r="V4" s="18" t="n">
        <v>1</v>
      </c>
      <c r="W4" s="18" t="n">
        <v>1</v>
      </c>
      <c r="X4" s="18" t="n">
        <v>0</v>
      </c>
      <c r="Y4" s="18" t="n">
        <v>1</v>
      </c>
      <c r="Z4" s="18" t="n">
        <v>0</v>
      </c>
      <c r="AA4" s="18" t="n">
        <v>0</v>
      </c>
      <c r="AB4" s="18" t="n">
        <v>0</v>
      </c>
      <c r="AC4" s="18" t="n">
        <v>0</v>
      </c>
      <c r="AD4" s="18" t="n">
        <v>0</v>
      </c>
      <c r="AE4" s="18" t="n">
        <v>0</v>
      </c>
      <c r="AF4" s="18" t="n">
        <v>0</v>
      </c>
      <c r="AG4" s="18" t="n">
        <v>0</v>
      </c>
      <c r="AH4" s="18" t="n">
        <v>0</v>
      </c>
      <c r="AI4" s="18" t="n">
        <v>0</v>
      </c>
      <c r="AJ4" s="18" t="n">
        <v>0</v>
      </c>
      <c r="AK4" s="18" t="n">
        <v>0</v>
      </c>
      <c r="AL4" s="18" t="n">
        <v>0</v>
      </c>
      <c r="AM4" s="18" t="n">
        <v>0</v>
      </c>
      <c r="AN4" s="18" t="n">
        <v>0</v>
      </c>
      <c r="AO4" s="18" t="n">
        <v>0</v>
      </c>
      <c r="AP4" s="18" t="n">
        <v>0</v>
      </c>
      <c r="AQ4" s="18" t="n">
        <v>0</v>
      </c>
      <c r="AR4" s="18" t="n">
        <v>0</v>
      </c>
      <c r="AS4" s="18" t="n">
        <v>0</v>
      </c>
      <c r="AT4" s="18" t="n">
        <v>0</v>
      </c>
      <c r="AU4" s="18" t="n">
        <v>0</v>
      </c>
      <c r="AV4" s="18" t="n">
        <v>0</v>
      </c>
      <c r="AW4" s="19">
        <f>AVERAGE(C4:Y4)</f>
        <v/>
      </c>
      <c r="AX4" s="19">
        <f>AVERAGE(Z4:AV4)</f>
        <v/>
      </c>
    </row>
    <row r="5">
      <c r="A5" s="5" t="inlineStr">
        <is>
          <t>España</t>
        </is>
      </c>
      <c r="B5" s="5" t="inlineStr">
        <is>
          <t>Europa Occidental</t>
        </is>
      </c>
      <c r="C5" s="20" t="n">
        <v>39</v>
      </c>
      <c r="D5" s="20" t="n">
        <v>28</v>
      </c>
      <c r="E5" s="20" t="n">
        <v>39</v>
      </c>
      <c r="F5" s="20" t="n">
        <v>26</v>
      </c>
      <c r="G5" s="20" t="n">
        <v>24</v>
      </c>
      <c r="H5" s="20" t="n">
        <v>25</v>
      </c>
      <c r="I5" s="20" t="n">
        <v>30</v>
      </c>
      <c r="J5" s="20" t="n">
        <v>64</v>
      </c>
      <c r="K5" s="20" t="n">
        <v>58</v>
      </c>
      <c r="L5" s="20" t="n">
        <v>16</v>
      </c>
      <c r="M5" s="20" t="n">
        <v>-6</v>
      </c>
      <c r="N5" s="20" t="n">
        <v>-31</v>
      </c>
      <c r="O5" s="20" t="n">
        <v>14</v>
      </c>
      <c r="P5" s="20" t="n">
        <v>38</v>
      </c>
      <c r="Q5" s="20" t="n">
        <v>13</v>
      </c>
      <c r="R5" s="20" t="n">
        <v>12</v>
      </c>
      <c r="S5" s="20" t="n">
        <v>11</v>
      </c>
      <c r="T5" s="20" t="n">
        <v>19</v>
      </c>
      <c r="U5" s="20" t="n">
        <v>43</v>
      </c>
      <c r="V5" s="20" t="n">
        <v>14</v>
      </c>
      <c r="W5" s="20" t="n">
        <v>28</v>
      </c>
      <c r="X5" s="20" t="n">
        <v>-8</v>
      </c>
      <c r="Y5" s="20" t="n">
        <v>27</v>
      </c>
      <c r="Z5" s="20" t="n">
        <v>58</v>
      </c>
      <c r="AA5" s="20" t="n">
        <v>33</v>
      </c>
      <c r="AB5" s="20" t="n">
        <v>32</v>
      </c>
      <c r="AC5" s="20" t="n">
        <v>28</v>
      </c>
      <c r="AD5" s="20" t="n">
        <v>60</v>
      </c>
      <c r="AE5" s="20" t="n">
        <v>43</v>
      </c>
      <c r="AF5" s="20" t="n">
        <v>114</v>
      </c>
      <c r="AG5" s="20" t="n">
        <v>133</v>
      </c>
      <c r="AH5" s="20" t="n">
        <v>65</v>
      </c>
      <c r="AI5" s="20" t="n">
        <v>16</v>
      </c>
      <c r="AJ5" s="20" t="n">
        <v>30</v>
      </c>
      <c r="AK5" s="20" t="n">
        <v>26</v>
      </c>
      <c r="AL5" s="20" t="n">
        <v>22</v>
      </c>
      <c r="AM5" s="20" t="n">
        <v>74</v>
      </c>
      <c r="AN5" s="20" t="n">
        <v>35</v>
      </c>
      <c r="AO5" s="20" t="n">
        <v>27</v>
      </c>
      <c r="AP5" s="20" t="n">
        <v>33</v>
      </c>
      <c r="AQ5" s="20" t="n">
        <v>30</v>
      </c>
      <c r="AR5" s="20" t="n">
        <v>40</v>
      </c>
      <c r="AS5" s="20" t="n">
        <v>30</v>
      </c>
      <c r="AT5" s="20" t="n">
        <v>28</v>
      </c>
      <c r="AU5" s="20" t="n">
        <v>15</v>
      </c>
      <c r="AV5" s="20" t="n">
        <v>35</v>
      </c>
      <c r="AW5" s="21">
        <f>AVERAGE(C5:Y5)</f>
        <v/>
      </c>
      <c r="AX5" s="21">
        <f>AVERAGE(Z5:AV5)</f>
        <v/>
      </c>
    </row>
    <row r="6">
      <c r="A6" s="17" t="inlineStr">
        <is>
          <t>Kazajistán</t>
        </is>
      </c>
      <c r="B6" s="17" t="inlineStr">
        <is>
          <t>Este Europa/Asia Central</t>
        </is>
      </c>
      <c r="C6" s="18" t="n">
        <v>1</v>
      </c>
      <c r="D6" s="18" t="n">
        <v>3</v>
      </c>
      <c r="E6" s="18" t="n">
        <v>2</v>
      </c>
      <c r="F6" s="18" t="n">
        <v>2</v>
      </c>
      <c r="G6" s="18" t="n">
        <v>4</v>
      </c>
      <c r="H6" s="18" t="n">
        <v>2</v>
      </c>
      <c r="I6" s="18" t="n">
        <v>6</v>
      </c>
      <c r="J6" s="18" t="n">
        <v>11</v>
      </c>
      <c r="K6" s="18" t="n">
        <v>14</v>
      </c>
      <c r="L6" s="18" t="n">
        <v>13</v>
      </c>
      <c r="M6" s="18" t="n">
        <v>7</v>
      </c>
      <c r="N6" s="18" t="n">
        <v>14</v>
      </c>
      <c r="O6" s="18" t="n">
        <v>13</v>
      </c>
      <c r="P6" s="18" t="n">
        <v>10</v>
      </c>
      <c r="Q6" s="18" t="n">
        <v>8</v>
      </c>
      <c r="R6" s="18" t="n">
        <v>4</v>
      </c>
      <c r="S6" s="18" t="n">
        <v>17</v>
      </c>
      <c r="T6" s="18" t="n">
        <v>6</v>
      </c>
      <c r="U6" s="18" t="n">
        <v>3</v>
      </c>
      <c r="V6" s="18" t="n">
        <v>8</v>
      </c>
      <c r="W6" s="18" t="n">
        <v>4</v>
      </c>
      <c r="X6" s="18" t="n">
        <v>4</v>
      </c>
      <c r="Y6" s="18" t="n">
        <v>5</v>
      </c>
      <c r="Z6" s="18" t="n">
        <v>0</v>
      </c>
      <c r="AA6" s="18" t="n">
        <v>0</v>
      </c>
      <c r="AB6" s="18" t="n">
        <v>0</v>
      </c>
      <c r="AC6" s="18" t="n">
        <v>0</v>
      </c>
      <c r="AD6" s="18" t="n">
        <v>0</v>
      </c>
      <c r="AE6" s="18" t="n">
        <v>0</v>
      </c>
      <c r="AF6" s="18" t="n">
        <v>0</v>
      </c>
      <c r="AG6" s="18" t="n">
        <v>1</v>
      </c>
      <c r="AH6" s="18" t="n">
        <v>1</v>
      </c>
      <c r="AI6" s="18" t="n">
        <v>3</v>
      </c>
      <c r="AJ6" s="18" t="n">
        <v>4</v>
      </c>
      <c r="AK6" s="18" t="n">
        <v>3</v>
      </c>
      <c r="AL6" s="18" t="n">
        <v>2</v>
      </c>
      <c r="AM6" s="18" t="n">
        <v>2</v>
      </c>
      <c r="AN6" s="18" t="n">
        <v>3</v>
      </c>
      <c r="AO6" s="18" t="n">
        <v>3</v>
      </c>
      <c r="AP6" s="18" t="n">
        <v>4</v>
      </c>
      <c r="AQ6" s="18" t="n">
        <v>5</v>
      </c>
      <c r="AR6" s="18" t="n">
        <v>2</v>
      </c>
      <c r="AS6" s="18" t="n">
        <v>1</v>
      </c>
      <c r="AT6" s="18" t="n">
        <v>2</v>
      </c>
      <c r="AU6" s="18" t="n">
        <v>1</v>
      </c>
      <c r="AV6" s="18" t="n">
        <v>1</v>
      </c>
      <c r="AW6" s="19">
        <f>AVERAGE(C6:Y6)</f>
        <v/>
      </c>
      <c r="AX6" s="19">
        <f>AVERAGE(Z6:AV6)</f>
        <v/>
      </c>
    </row>
    <row r="7">
      <c r="A7" s="5" t="inlineStr">
        <is>
          <t>Ucrania</t>
        </is>
      </c>
      <c r="B7" s="5" t="inlineStr">
        <is>
          <t>Este Europa/Asia Central</t>
        </is>
      </c>
      <c r="C7" s="20" t="n">
        <v>1</v>
      </c>
      <c r="D7" s="20" t="n">
        <v>1</v>
      </c>
      <c r="E7" s="20" t="n">
        <v>1</v>
      </c>
      <c r="F7" s="20" t="n">
        <v>1</v>
      </c>
      <c r="G7" s="20" t="n">
        <v>2</v>
      </c>
      <c r="H7" s="20" t="n">
        <v>8</v>
      </c>
      <c r="I7" s="20" t="n">
        <v>5</v>
      </c>
      <c r="J7" s="20" t="n">
        <v>10</v>
      </c>
      <c r="K7" s="20" t="n">
        <v>10</v>
      </c>
      <c r="L7" s="20" t="n">
        <v>5</v>
      </c>
      <c r="M7" s="20" t="n">
        <v>6</v>
      </c>
      <c r="N7" s="20" t="n">
        <v>7</v>
      </c>
      <c r="O7" s="20" t="n">
        <v>8</v>
      </c>
      <c r="P7" s="20" t="n">
        <v>4</v>
      </c>
      <c r="Q7" s="20" t="n">
        <v>1</v>
      </c>
      <c r="R7" s="20" t="n">
        <v>3</v>
      </c>
      <c r="S7" s="20" t="n">
        <v>4</v>
      </c>
      <c r="T7" s="20" t="n">
        <v>3</v>
      </c>
      <c r="U7" s="20" t="n">
        <v>2</v>
      </c>
      <c r="V7" s="20" t="n">
        <v>6</v>
      </c>
      <c r="W7" s="20" t="n">
        <v>0</v>
      </c>
      <c r="X7" s="20" t="n">
        <v>0</v>
      </c>
      <c r="Y7" s="20" t="n">
        <v>0</v>
      </c>
      <c r="Z7" s="20" t="n">
        <v>0</v>
      </c>
      <c r="AA7" s="20" t="n">
        <v>0</v>
      </c>
      <c r="AB7" s="20" t="n">
        <v>0</v>
      </c>
      <c r="AC7" s="20" t="n">
        <v>0</v>
      </c>
      <c r="AD7" s="20" t="n">
        <v>0</v>
      </c>
      <c r="AE7" s="20" t="n">
        <v>0</v>
      </c>
      <c r="AF7" s="20" t="n">
        <v>0</v>
      </c>
      <c r="AG7" s="20" t="n">
        <v>0</v>
      </c>
      <c r="AH7" s="20" t="n">
        <v>0</v>
      </c>
      <c r="AI7" s="20" t="n">
        <v>0</v>
      </c>
      <c r="AJ7" s="20" t="n">
        <v>0</v>
      </c>
      <c r="AK7" s="20" t="n">
        <v>0</v>
      </c>
      <c r="AL7" s="20" t="n">
        <v>0</v>
      </c>
      <c r="AM7" s="20" t="n">
        <v>0</v>
      </c>
      <c r="AN7" s="20" t="n">
        <v>0</v>
      </c>
      <c r="AO7" s="20" t="n">
        <v>0</v>
      </c>
      <c r="AP7" s="20" t="n">
        <v>0</v>
      </c>
      <c r="AQ7" s="20" t="n">
        <v>0</v>
      </c>
      <c r="AR7" s="20" t="n">
        <v>0</v>
      </c>
      <c r="AS7" s="20" t="n">
        <v>0</v>
      </c>
      <c r="AT7" s="20" t="n">
        <v>0</v>
      </c>
      <c r="AU7" s="20" t="n">
        <v>0</v>
      </c>
      <c r="AV7" s="20" t="n">
        <v>0</v>
      </c>
      <c r="AW7" s="21">
        <f>AVERAGE(C7:Y7)</f>
        <v/>
      </c>
      <c r="AX7" s="21">
        <f>AVERAGE(Z7:AV7)</f>
        <v/>
      </c>
    </row>
    <row r="8">
      <c r="A8" s="17" t="inlineStr">
        <is>
          <t>Egipto</t>
        </is>
      </c>
      <c r="B8" s="17" t="inlineStr">
        <is>
          <t>Medio Oriente/Norte África</t>
        </is>
      </c>
      <c r="C8" s="18" t="n">
        <v>1</v>
      </c>
      <c r="D8" s="18" t="n">
        <v>1</v>
      </c>
      <c r="E8" s="18" t="n">
        <v>1</v>
      </c>
      <c r="F8" s="18" t="n">
        <v>0</v>
      </c>
      <c r="G8" s="18" t="n">
        <v>2</v>
      </c>
      <c r="H8" s="18" t="n">
        <v>5</v>
      </c>
      <c r="I8" s="18" t="n">
        <v>10</v>
      </c>
      <c r="J8" s="18" t="n">
        <v>11</v>
      </c>
      <c r="K8" s="18" t="n">
        <v>9</v>
      </c>
      <c r="L8" s="18" t="n">
        <v>5</v>
      </c>
      <c r="M8" s="18" t="n">
        <v>7</v>
      </c>
      <c r="N8" s="18" t="n">
        <v>6</v>
      </c>
      <c r="O8" s="18" t="n">
        <v>3</v>
      </c>
      <c r="P8" s="18" t="n">
        <v>4</v>
      </c>
      <c r="Q8" s="18" t="n">
        <v>5</v>
      </c>
      <c r="R8" s="18" t="n">
        <v>7</v>
      </c>
      <c r="S8" s="18" t="n">
        <v>8</v>
      </c>
      <c r="T8" s="18" t="n">
        <v>7</v>
      </c>
      <c r="U8" s="18" t="n">
        <v>7</v>
      </c>
      <c r="V8" s="18" t="n">
        <v>9</v>
      </c>
      <c r="W8" s="18" t="n">
        <v>6</v>
      </c>
      <c r="X8" s="18" t="n">
        <v>5</v>
      </c>
      <c r="Y8" s="18" t="n">
        <v>11</v>
      </c>
      <c r="Z8" s="18" t="n">
        <v>0</v>
      </c>
      <c r="AA8" s="18" t="n">
        <v>0</v>
      </c>
      <c r="AB8" s="18" t="n">
        <v>0</v>
      </c>
      <c r="AC8" s="18" t="n">
        <v>0</v>
      </c>
      <c r="AD8" s="18" t="n">
        <v>0</v>
      </c>
      <c r="AE8" s="18" t="n">
        <v>0</v>
      </c>
      <c r="AF8" s="18" t="n">
        <v>0</v>
      </c>
      <c r="AG8" s="18" t="n">
        <v>0</v>
      </c>
      <c r="AH8" s="18" t="n">
        <v>0</v>
      </c>
      <c r="AI8" s="18" t="n">
        <v>0</v>
      </c>
      <c r="AJ8" s="18" t="n">
        <v>0</v>
      </c>
      <c r="AK8" s="18" t="n">
        <v>0</v>
      </c>
      <c r="AL8" s="18" t="n">
        <v>0</v>
      </c>
      <c r="AM8" s="18" t="n">
        <v>0</v>
      </c>
      <c r="AN8" s="18" t="n">
        <v>0</v>
      </c>
      <c r="AO8" s="18" t="n">
        <v>0</v>
      </c>
      <c r="AP8" s="18" t="n">
        <v>0</v>
      </c>
      <c r="AQ8" s="18" t="n">
        <v>0</v>
      </c>
      <c r="AR8" s="18" t="n">
        <v>0</v>
      </c>
      <c r="AS8" s="18" t="n">
        <v>0</v>
      </c>
      <c r="AT8" s="18" t="n">
        <v>0</v>
      </c>
      <c r="AU8" s="18" t="n">
        <v>0</v>
      </c>
      <c r="AV8" s="18" t="n">
        <v>0</v>
      </c>
      <c r="AW8" s="19">
        <f>AVERAGE(C8:Y8)</f>
        <v/>
      </c>
      <c r="AX8" s="19">
        <f>AVERAGE(Z8:AV8)</f>
        <v/>
      </c>
    </row>
    <row r="9">
      <c r="A9" s="5" t="inlineStr">
        <is>
          <t>India</t>
        </is>
      </c>
      <c r="B9" s="5" t="inlineStr">
        <is>
          <t>Asia Sur-Este/Pacífico</t>
        </is>
      </c>
      <c r="C9" s="20" t="n">
        <v>3</v>
      </c>
      <c r="D9" s="20" t="n">
        <v>5</v>
      </c>
      <c r="E9" s="20" t="n">
        <v>5</v>
      </c>
      <c r="F9" s="20" t="n">
        <v>4</v>
      </c>
      <c r="G9" s="20" t="n">
        <v>6</v>
      </c>
      <c r="H9" s="20" t="n">
        <v>7</v>
      </c>
      <c r="I9" s="20" t="n">
        <v>20</v>
      </c>
      <c r="J9" s="20" t="n">
        <v>25</v>
      </c>
      <c r="K9" s="20" t="n">
        <v>43</v>
      </c>
      <c r="L9" s="20" t="n">
        <v>35</v>
      </c>
      <c r="M9" s="20" t="n">
        <v>27</v>
      </c>
      <c r="N9" s="20" t="n">
        <v>36</v>
      </c>
      <c r="O9" s="20" t="n">
        <v>24</v>
      </c>
      <c r="P9" s="20" t="n">
        <v>28</v>
      </c>
      <c r="Q9" s="20" t="n">
        <v>34</v>
      </c>
      <c r="R9" s="20" t="n">
        <v>44</v>
      </c>
      <c r="S9" s="20" t="n">
        <v>43</v>
      </c>
      <c r="T9" s="20" t="n">
        <v>40</v>
      </c>
      <c r="U9" s="20" t="n">
        <v>42</v>
      </c>
      <c r="V9" s="20" t="n">
        <v>51</v>
      </c>
      <c r="W9" s="20" t="n">
        <v>64</v>
      </c>
      <c r="X9" s="20" t="n">
        <v>45</v>
      </c>
      <c r="Y9" s="20" t="n">
        <v>49</v>
      </c>
      <c r="Z9" s="20" t="n">
        <v>1</v>
      </c>
      <c r="AA9" s="20" t="n">
        <v>1</v>
      </c>
      <c r="AB9" s="20" t="n">
        <v>1</v>
      </c>
      <c r="AC9" s="20" t="n">
        <v>1</v>
      </c>
      <c r="AD9" s="20" t="n">
        <v>2</v>
      </c>
      <c r="AE9" s="20" t="n">
        <v>3</v>
      </c>
      <c r="AF9" s="20" t="n">
        <v>14</v>
      </c>
      <c r="AG9" s="20" t="n">
        <v>17</v>
      </c>
      <c r="AH9" s="20" t="n">
        <v>17</v>
      </c>
      <c r="AI9" s="20" t="n">
        <v>15</v>
      </c>
      <c r="AJ9" s="20" t="n">
        <v>13</v>
      </c>
      <c r="AK9" s="20" t="n">
        <v>14</v>
      </c>
      <c r="AL9" s="20" t="n">
        <v>8</v>
      </c>
      <c r="AM9" s="20" t="n">
        <v>7</v>
      </c>
      <c r="AN9" s="20" t="n">
        <v>10</v>
      </c>
      <c r="AO9" s="20" t="n">
        <v>8</v>
      </c>
      <c r="AP9" s="20" t="n">
        <v>6</v>
      </c>
      <c r="AQ9" s="20" t="n">
        <v>11</v>
      </c>
      <c r="AR9" s="20" t="n">
        <v>11</v>
      </c>
      <c r="AS9" s="20" t="n">
        <v>13</v>
      </c>
      <c r="AT9" s="20" t="n">
        <v>12</v>
      </c>
      <c r="AU9" s="20" t="n">
        <v>16</v>
      </c>
      <c r="AV9" s="20" t="n">
        <v>16</v>
      </c>
      <c r="AW9" s="21">
        <f>AVERAGE(C9:Y9)</f>
        <v/>
      </c>
      <c r="AX9" s="21">
        <f>AVERAGE(Z9:AV9)</f>
        <v/>
      </c>
    </row>
    <row r="10">
      <c r="A10" s="17" t="inlineStr">
        <is>
          <t>México</t>
        </is>
      </c>
      <c r="B10" s="17" t="inlineStr">
        <is>
          <t>América del Norte</t>
        </is>
      </c>
      <c r="C10" s="18" t="n">
        <v>18</v>
      </c>
      <c r="D10" s="18" t="n">
        <v>27</v>
      </c>
      <c r="E10" s="18" t="n">
        <v>23</v>
      </c>
      <c r="F10" s="18" t="n">
        <v>16</v>
      </c>
      <c r="G10" s="18" t="n">
        <v>22</v>
      </c>
      <c r="H10" s="18" t="n">
        <v>24</v>
      </c>
      <c r="I10" s="18" t="n">
        <v>20</v>
      </c>
      <c r="J10" s="18" t="n">
        <v>30</v>
      </c>
      <c r="K10" s="18" t="n">
        <v>26</v>
      </c>
      <c r="L10" s="18" t="n">
        <v>17</v>
      </c>
      <c r="M10" s="18" t="n">
        <v>21</v>
      </c>
      <c r="N10" s="18" t="n">
        <v>21</v>
      </c>
      <c r="O10" s="18" t="n">
        <v>19</v>
      </c>
      <c r="P10" s="18" t="n">
        <v>38</v>
      </c>
      <c r="Q10" s="18" t="n">
        <v>25</v>
      </c>
      <c r="R10" s="18" t="n">
        <v>33</v>
      </c>
      <c r="S10" s="18" t="n">
        <v>26</v>
      </c>
      <c r="T10" s="18" t="n">
        <v>32</v>
      </c>
      <c r="U10" s="18" t="n">
        <v>35</v>
      </c>
      <c r="V10" s="18" t="n">
        <v>34</v>
      </c>
      <c r="W10" s="18" t="n">
        <v>29</v>
      </c>
      <c r="X10" s="18" t="n">
        <v>31</v>
      </c>
      <c r="Y10" s="18" t="n">
        <v>35</v>
      </c>
      <c r="Z10" s="18" t="n">
        <v>1</v>
      </c>
      <c r="AA10" s="18" t="n">
        <v>4</v>
      </c>
      <c r="AB10" s="18" t="n">
        <v>1</v>
      </c>
      <c r="AC10" s="18" t="n">
        <v>1</v>
      </c>
      <c r="AD10" s="18" t="n">
        <v>4</v>
      </c>
      <c r="AE10" s="18" t="n">
        <v>7</v>
      </c>
      <c r="AF10" s="18" t="n">
        <v>5</v>
      </c>
      <c r="AG10" s="18" t="n">
        <v>8</v>
      </c>
      <c r="AH10" s="18" t="n">
        <v>1</v>
      </c>
      <c r="AI10" s="18" t="n">
        <v>7</v>
      </c>
      <c r="AJ10" s="18" t="n">
        <v>15</v>
      </c>
      <c r="AK10" s="18" t="n">
        <v>10</v>
      </c>
      <c r="AL10" s="18" t="n">
        <v>23</v>
      </c>
      <c r="AM10" s="18" t="n">
        <v>11</v>
      </c>
      <c r="AN10" s="18" t="n">
        <v>7</v>
      </c>
      <c r="AO10" s="18" t="n">
        <v>10</v>
      </c>
      <c r="AP10" s="18" t="n">
        <v>11</v>
      </c>
      <c r="AQ10" s="18" t="n">
        <v>5</v>
      </c>
      <c r="AR10" s="18" t="n">
        <v>10</v>
      </c>
      <c r="AS10" s="18" t="n">
        <v>5</v>
      </c>
      <c r="AT10" s="18" t="n">
        <v>3</v>
      </c>
      <c r="AU10" s="18" t="n">
        <v>3</v>
      </c>
      <c r="AV10" s="18" t="n">
        <v>3</v>
      </c>
      <c r="AW10" s="19">
        <f>AVERAGE(C10:Y10)</f>
        <v/>
      </c>
      <c r="AX10" s="19">
        <f>AVERAGE(Z10:AV10)</f>
        <v/>
      </c>
    </row>
    <row r="11">
      <c r="A11" s="5" t="inlineStr">
        <is>
          <t>Canadá</t>
        </is>
      </c>
      <c r="B11" s="5" t="inlineStr">
        <is>
          <t>América del Norte</t>
        </is>
      </c>
      <c r="C11" s="20" t="n">
        <v>66</v>
      </c>
      <c r="D11" s="20" t="n">
        <v>28</v>
      </c>
      <c r="E11" s="20" t="n">
        <v>22</v>
      </c>
      <c r="F11" s="20" t="n">
        <v>6</v>
      </c>
      <c r="G11" s="20" t="n">
        <v>3</v>
      </c>
      <c r="H11" s="20" t="n">
        <v>34</v>
      </c>
      <c r="I11" s="20" t="n">
        <v>62</v>
      </c>
      <c r="J11" s="20" t="n">
        <v>116</v>
      </c>
      <c r="K11" s="20" t="n">
        <v>59</v>
      </c>
      <c r="L11" s="20" t="n">
        <v>21</v>
      </c>
      <c r="M11" s="20" t="n">
        <v>29</v>
      </c>
      <c r="N11" s="20" t="n">
        <v>41</v>
      </c>
      <c r="O11" s="20" t="n">
        <v>43</v>
      </c>
      <c r="P11" s="20" t="n">
        <v>70</v>
      </c>
      <c r="Q11" s="20" t="n">
        <v>53</v>
      </c>
      <c r="R11" s="20" t="n">
        <v>43</v>
      </c>
      <c r="S11" s="20" t="n">
        <v>34</v>
      </c>
      <c r="T11" s="20" t="n">
        <v>24</v>
      </c>
      <c r="U11" s="20" t="n">
        <v>42</v>
      </c>
      <c r="V11" s="20" t="n">
        <v>49</v>
      </c>
      <c r="W11" s="20" t="n">
        <v>23</v>
      </c>
      <c r="X11" s="20" t="n">
        <v>57</v>
      </c>
      <c r="Y11" s="20" t="n">
        <v>53</v>
      </c>
      <c r="Z11" s="20" t="n">
        <v>45</v>
      </c>
      <c r="AA11" s="20" t="n">
        <v>36</v>
      </c>
      <c r="AB11" s="20" t="n">
        <v>27</v>
      </c>
      <c r="AC11" s="20" t="n">
        <v>22</v>
      </c>
      <c r="AD11" s="20" t="n">
        <v>43</v>
      </c>
      <c r="AE11" s="20" t="n">
        <v>34</v>
      </c>
      <c r="AF11" s="20" t="n">
        <v>43</v>
      </c>
      <c r="AG11" s="20" t="n">
        <v>59</v>
      </c>
      <c r="AH11" s="20" t="n">
        <v>80</v>
      </c>
      <c r="AI11" s="20" t="n">
        <v>45</v>
      </c>
      <c r="AJ11" s="20" t="n">
        <v>39</v>
      </c>
      <c r="AK11" s="20" t="n">
        <v>49</v>
      </c>
      <c r="AL11" s="20" t="n">
        <v>58</v>
      </c>
      <c r="AM11" s="20" t="n">
        <v>67</v>
      </c>
      <c r="AN11" s="20" t="n">
        <v>55</v>
      </c>
      <c r="AO11" s="20" t="n">
        <v>67</v>
      </c>
      <c r="AP11" s="20" t="n">
        <v>70</v>
      </c>
      <c r="AQ11" s="20" t="n">
        <v>80</v>
      </c>
      <c r="AR11" s="20" t="n">
        <v>50</v>
      </c>
      <c r="AS11" s="20" t="n">
        <v>50</v>
      </c>
      <c r="AT11" s="20" t="n">
        <v>48</v>
      </c>
      <c r="AU11" s="20" t="n">
        <v>62</v>
      </c>
      <c r="AV11" s="20" t="n">
        <v>40</v>
      </c>
      <c r="AW11" s="21">
        <f>AVERAGE(C11:Y11)</f>
        <v/>
      </c>
      <c r="AX11" s="21">
        <f>AVERAGE(Z11:AV11)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8" customWidth="1" min="1" max="1"/>
    <col width="90" customWidth="1" min="2" max="2"/>
  </cols>
  <sheetData>
    <row r="1" ht="40" customHeight="1">
      <c r="A1" s="22" t="inlineStr">
        <is>
          <t>SECCIÓN</t>
        </is>
      </c>
      <c r="B1" s="22" t="inlineStr">
        <is>
          <t>CÓMO USAR ESTA PLANILLA — BASE DE DATOS TESIS CIADI</t>
        </is>
      </c>
    </row>
    <row r="2" ht="22" customHeight="1">
      <c r="A2" s="23" t="inlineStr">
        <is>
          <t>OBJETIVO</t>
        </is>
      </c>
      <c r="B2" s="24" t="inlineStr">
        <is>
          <t>Esta planilla centraliza todos los datos para la tesis sobre distribución de laudos condenatorios en el CIADI entre países exportadores e importadores de capital (2000–2022).</t>
        </is>
      </c>
    </row>
    <row r="3" ht="22" customHeight="1">
      <c r="A3" s="25" t="inlineStr"/>
      <c r="B3" s="24" t="inlineStr"/>
    </row>
    <row r="4" ht="22" customHeight="1">
      <c r="A4" s="23" t="inlineStr">
        <is>
          <t>HOJA LAUDOS</t>
        </is>
      </c>
      <c r="B4" s="24" t="inlineStr">
        <is>
          <t>Tabla principal. Una fila por laudo con decisión de fondo publicada. Incluye absoluciones, condenas con daños y condenas sin daños. Columnas 1-5: identificación. Columnas 6-9: resultado y montos. Columnas 10-19: datos sustantivos.</t>
        </is>
      </c>
    </row>
    <row r="5" ht="22" customHeight="1">
      <c r="A5" s="25" t="inlineStr"/>
      <c r="B5" s="24" t="inlineStr">
        <is>
          <t>La columna % Otorgado/Reclamado se calcula automáticamente. Los campos con lista desplegable se completan eligiendo del menú.</t>
        </is>
      </c>
    </row>
    <row r="6" ht="22" customHeight="1">
      <c r="A6" s="25" t="inlineStr"/>
      <c r="B6" s="24" t="inlineStr"/>
    </row>
    <row r="7" ht="22" customHeight="1">
      <c r="A7" s="23" t="inlineStr">
        <is>
          <t>HOJA CASOS SIN LAUDO</t>
        </is>
      </c>
      <c r="B7" s="24" t="inlineStr">
        <is>
          <t>Registra los casos del periodo 2000-2022 que NO tienen laudo público: settlements, discontinuados y confidenciales. Permite tener el universo completo de casos iniciados aunque no haya documento para analizar.</t>
        </is>
      </c>
    </row>
    <row r="8" ht="22" customHeight="1">
      <c r="A8" s="25" t="inlineStr"/>
      <c r="B8" s="24" t="inlineStr"/>
    </row>
    <row r="9" ht="22" customHeight="1">
      <c r="A9" s="23" t="inlineStr">
        <is>
          <t>HOJA PAÍSES</t>
        </is>
      </c>
      <c r="B9" s="24" t="inlineStr">
        <is>
          <t>Resume resultados por país demandado. El % Condenado se calcula automáticamente. Completar con datos de icsid.worldbank.org y los reportes anuales del CIADI.</t>
        </is>
      </c>
    </row>
    <row r="10" ht="22" customHeight="1">
      <c r="A10" s="25" t="inlineStr"/>
      <c r="B10" s="24" t="inlineStr"/>
    </row>
    <row r="11" ht="22" customHeight="1">
      <c r="A11" s="23" t="inlineStr">
        <is>
          <t>HOJA FLUJOS DE CAPITAL</t>
        </is>
      </c>
      <c r="B11" s="24" t="inlineStr">
        <is>
          <t>IED entrada y salida por país 2000-2022 en USD millones. Fuente: Banco Mundial y UNCTAD. Los promedios se calculan automáticamente y sirven para clasificar cada país como exportador o importador neto.</t>
        </is>
      </c>
    </row>
    <row r="12" ht="22" customHeight="1">
      <c r="A12" s="25" t="inlineStr"/>
      <c r="B12" s="24" t="inlineStr"/>
    </row>
    <row r="13" ht="22" customHeight="1">
      <c r="A13" s="23" t="inlineStr">
        <is>
          <t>FLUJO DE TRABAJO</t>
        </is>
      </c>
      <c r="B13" s="24" t="inlineStr">
        <is>
          <t>1. Buscar el caso en icsid.worldbank.org/cases/case-database</t>
        </is>
      </c>
    </row>
    <row r="14" ht="22" customHeight="1">
      <c r="A14" s="25" t="inlineStr"/>
      <c r="B14" s="24" t="inlineStr">
        <is>
          <t>2. Si tiene laudo público: descargar el PDF y guardarlo en la carpeta de región correspondiente</t>
        </is>
      </c>
    </row>
    <row r="15" ht="22" customHeight="1">
      <c r="A15" s="25" t="inlineStr"/>
      <c r="B15" s="24" t="inlineStr">
        <is>
          <t>3. Pasarle el PDF a Claude para extraer las variables automáticamente</t>
        </is>
      </c>
    </row>
    <row r="16" ht="22" customHeight="1">
      <c r="A16" s="25" t="inlineStr"/>
      <c r="B16" s="24" t="inlineStr">
        <is>
          <t>4. Cargar los datos en la hoja LAUDOS (con laudo) o CASOS SIN LAUDO (sin laudo)</t>
        </is>
      </c>
    </row>
    <row r="17" ht="22" customHeight="1">
      <c r="A17" s="25" t="inlineStr"/>
      <c r="B17" s="24" t="inlineStr">
        <is>
          <t>5. Para los flujos de capital: descargar de datos.bancomundial.org y cargar en FLUJOS DE CAPITAL</t>
        </is>
      </c>
    </row>
    <row r="18" ht="22" customHeight="1">
      <c r="A18" s="25" t="inlineStr"/>
      <c r="B18" s="24" t="inlineStr"/>
    </row>
    <row r="19" ht="22" customHeight="1">
      <c r="A19" s="23" t="inlineStr">
        <is>
          <t>FUENTES</t>
        </is>
      </c>
      <c r="B19" s="24" t="inlineStr">
        <is>
          <t>• CIADI: icsid.worldbank.org/cases/case-database</t>
        </is>
      </c>
    </row>
    <row r="20" ht="22" customHeight="1">
      <c r="A20" s="25" t="inlineStr"/>
      <c r="B20" s="24" t="inlineStr">
        <is>
          <t>• UNCTAD: investmentpolicy.unctad.org/investment-dispute-settlement</t>
        </is>
      </c>
    </row>
    <row r="21" ht="22" customHeight="1">
      <c r="A21" s="25" t="inlineStr"/>
      <c r="B21" s="24" t="inlineStr">
        <is>
          <t>• Banco Mundial: datos.bancomundial.org</t>
        </is>
      </c>
    </row>
    <row r="22" ht="22" customHeight="1">
      <c r="A22" s="25" t="inlineStr"/>
      <c r="B22" s="24" t="inlineStr">
        <is>
          <t>• Jus Mundi: jusmundi.com</t>
        </is>
      </c>
    </row>
    <row r="23" ht="22" customHeight="1">
      <c r="A23" s="25" t="inlineStr"/>
      <c r="B23" s="24" t="inlineStr">
        <is>
          <t>• ICSID Reportes Anuales: icsid.worldbank.org/resources/publications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2026-04-13T02:19:52Z</dcterms:created>
  <dcterms:modified xsi:type="dcterms:W3CDTF">2026-04-13T21:41:57Z</dcterms:modified>
</cp:coreProperties>
</file>